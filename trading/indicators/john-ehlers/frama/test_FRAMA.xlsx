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ate1904="1" defaultThemeVersion="124226"/>
  <mc:AlternateContent xmlns:mc="http://schemas.openxmlformats.org/markup-compatibility/2006">
    <mc:Choice Requires="x15">
      <x15ac:absPath xmlns:x15ac="http://schemas.microsoft.com/office/spreadsheetml/2010/11/ac" url="C:\Users\ivas\Downloads\9-frama\"/>
    </mc:Choice>
  </mc:AlternateContent>
  <xr:revisionPtr revIDLastSave="0" documentId="13_ncr:1_{F1595878-E5A5-48C9-B4F7-DB05CAA8F5B6}" xr6:coauthVersionLast="47" xr6:coauthVersionMax="47" xr10:uidLastSave="{00000000-0000-0000-0000-000000000000}"/>
  <bookViews>
    <workbookView xWindow="2775" yWindow="570" windowWidth="23715" windowHeight="15180" xr2:uid="{00000000-000D-0000-FFFF-FFFF00000000}"/>
  </bookViews>
  <sheets>
    <sheet name="test_FRAM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4" i="1"/>
  <c r="I23" i="1"/>
  <c r="I22" i="1"/>
  <c r="I21" i="1"/>
  <c r="I20" i="1"/>
  <c r="H20" i="1"/>
  <c r="L2" i="1"/>
  <c r="N2" i="1"/>
  <c r="J254" i="1"/>
  <c r="J252" i="1"/>
  <c r="J248" i="1"/>
  <c r="J247" i="1"/>
  <c r="J237" i="1"/>
  <c r="J235" i="1"/>
  <c r="J229" i="1"/>
  <c r="J228" i="1"/>
  <c r="J225" i="1"/>
  <c r="J218" i="1"/>
  <c r="J216" i="1"/>
  <c r="J212" i="1"/>
  <c r="J210" i="1"/>
  <c r="J209" i="1"/>
  <c r="J204" i="1"/>
  <c r="J200" i="1"/>
  <c r="J199" i="1"/>
  <c r="J190" i="1"/>
  <c r="J189" i="1"/>
  <c r="J187" i="1"/>
  <c r="J180" i="1"/>
  <c r="J177" i="1"/>
  <c r="J164" i="1"/>
  <c r="J162" i="1"/>
  <c r="J161" i="1"/>
  <c r="J156" i="1"/>
  <c r="J149" i="1"/>
  <c r="J142" i="1"/>
  <c r="J141" i="1"/>
  <c r="J132" i="1"/>
  <c r="J122" i="1"/>
  <c r="J116" i="1"/>
  <c r="J108" i="1"/>
  <c r="J101" i="1"/>
  <c r="J98" i="1"/>
  <c r="J92" i="1"/>
  <c r="J84" i="1"/>
  <c r="J77" i="1"/>
  <c r="J70" i="1"/>
  <c r="J69" i="1"/>
  <c r="J60" i="1"/>
  <c r="J45" i="1"/>
  <c r="J44" i="1"/>
  <c r="H256" i="1"/>
  <c r="H255" i="1"/>
  <c r="J255" i="1" s="1"/>
  <c r="H254" i="1"/>
  <c r="H253" i="1"/>
  <c r="J253" i="1" s="1"/>
  <c r="H252" i="1"/>
  <c r="H251" i="1"/>
  <c r="H250" i="1"/>
  <c r="J250" i="1" s="1"/>
  <c r="H249" i="1"/>
  <c r="J249" i="1" s="1"/>
  <c r="H248" i="1"/>
  <c r="H247" i="1"/>
  <c r="H246" i="1"/>
  <c r="J246" i="1" s="1"/>
  <c r="H245" i="1"/>
  <c r="J245" i="1" s="1"/>
  <c r="H244" i="1"/>
  <c r="H243" i="1"/>
  <c r="J243" i="1" s="1"/>
  <c r="H242" i="1"/>
  <c r="J242" i="1" s="1"/>
  <c r="H241" i="1"/>
  <c r="J241" i="1" s="1"/>
  <c r="H240" i="1"/>
  <c r="J240" i="1" s="1"/>
  <c r="H239" i="1"/>
  <c r="H238" i="1"/>
  <c r="J238" i="1" s="1"/>
  <c r="H237" i="1"/>
  <c r="H236" i="1"/>
  <c r="J236" i="1" s="1"/>
  <c r="H235" i="1"/>
  <c r="H234" i="1"/>
  <c r="J234" i="1" s="1"/>
  <c r="H233" i="1"/>
  <c r="J233" i="1" s="1"/>
  <c r="H232" i="1"/>
  <c r="H231" i="1"/>
  <c r="J231" i="1" s="1"/>
  <c r="H230" i="1"/>
  <c r="J230" i="1" s="1"/>
  <c r="H229" i="1"/>
  <c r="H228" i="1"/>
  <c r="H227" i="1"/>
  <c r="H226" i="1"/>
  <c r="J226" i="1" s="1"/>
  <c r="H225" i="1"/>
  <c r="H224" i="1"/>
  <c r="J224" i="1" s="1"/>
  <c r="H223" i="1"/>
  <c r="J223" i="1" s="1"/>
  <c r="H222" i="1"/>
  <c r="J222" i="1" s="1"/>
  <c r="H221" i="1"/>
  <c r="J221" i="1" s="1"/>
  <c r="H220" i="1"/>
  <c r="H219" i="1"/>
  <c r="J219" i="1" s="1"/>
  <c r="H218" i="1"/>
  <c r="H217" i="1"/>
  <c r="J217" i="1" s="1"/>
  <c r="H216" i="1"/>
  <c r="H215" i="1"/>
  <c r="H214" i="1"/>
  <c r="J214" i="1" s="1"/>
  <c r="H213" i="1"/>
  <c r="J213" i="1" s="1"/>
  <c r="H212" i="1"/>
  <c r="H211" i="1"/>
  <c r="J211" i="1" s="1"/>
  <c r="H210" i="1"/>
  <c r="H209" i="1"/>
  <c r="H208" i="1"/>
  <c r="H207" i="1"/>
  <c r="J207" i="1" s="1"/>
  <c r="H206" i="1"/>
  <c r="J206" i="1" s="1"/>
  <c r="H205" i="1"/>
  <c r="J205" i="1" s="1"/>
  <c r="H204" i="1"/>
  <c r="H203" i="1"/>
  <c r="H202" i="1"/>
  <c r="J202" i="1" s="1"/>
  <c r="H201" i="1"/>
  <c r="J201" i="1" s="1"/>
  <c r="H200" i="1"/>
  <c r="H199" i="1"/>
  <c r="H198" i="1"/>
  <c r="J198" i="1" s="1"/>
  <c r="H197" i="1"/>
  <c r="J197" i="1" s="1"/>
  <c r="H196" i="1"/>
  <c r="H195" i="1"/>
  <c r="J195" i="1" s="1"/>
  <c r="H194" i="1"/>
  <c r="J194" i="1" s="1"/>
  <c r="H193" i="1"/>
  <c r="J193" i="1" s="1"/>
  <c r="H192" i="1"/>
  <c r="J192" i="1" s="1"/>
  <c r="H191" i="1"/>
  <c r="H190" i="1"/>
  <c r="H189" i="1"/>
  <c r="H188" i="1"/>
  <c r="J188" i="1" s="1"/>
  <c r="H187" i="1"/>
  <c r="H186" i="1"/>
  <c r="J186" i="1" s="1"/>
  <c r="H185" i="1"/>
  <c r="J185" i="1" s="1"/>
  <c r="H184" i="1"/>
  <c r="H183" i="1"/>
  <c r="J183" i="1" s="1"/>
  <c r="H182" i="1"/>
  <c r="J182" i="1" s="1"/>
  <c r="H181" i="1"/>
  <c r="J181" i="1" s="1"/>
  <c r="H180" i="1"/>
  <c r="H179" i="1"/>
  <c r="H178" i="1"/>
  <c r="J178" i="1" s="1"/>
  <c r="H177" i="1"/>
  <c r="H176" i="1"/>
  <c r="J176" i="1" s="1"/>
  <c r="H175" i="1"/>
  <c r="J175" i="1" s="1"/>
  <c r="H174" i="1"/>
  <c r="J174" i="1" s="1"/>
  <c r="H173" i="1"/>
  <c r="J173" i="1" s="1"/>
  <c r="H172" i="1"/>
  <c r="H171" i="1"/>
  <c r="J171" i="1" s="1"/>
  <c r="H170" i="1"/>
  <c r="J170" i="1" s="1"/>
  <c r="H169" i="1"/>
  <c r="J169" i="1" s="1"/>
  <c r="H168" i="1"/>
  <c r="J168" i="1" s="1"/>
  <c r="H167" i="1"/>
  <c r="H166" i="1"/>
  <c r="J166" i="1" s="1"/>
  <c r="H165" i="1"/>
  <c r="J165" i="1" s="1"/>
  <c r="H164" i="1"/>
  <c r="H163" i="1"/>
  <c r="J163" i="1" s="1"/>
  <c r="H162" i="1"/>
  <c r="H161" i="1"/>
  <c r="H160" i="1"/>
  <c r="H159" i="1"/>
  <c r="J159" i="1" s="1"/>
  <c r="H158" i="1"/>
  <c r="J158" i="1" s="1"/>
  <c r="H157" i="1"/>
  <c r="J157" i="1" s="1"/>
  <c r="H156" i="1"/>
  <c r="H155" i="1"/>
  <c r="H154" i="1"/>
  <c r="J154" i="1" s="1"/>
  <c r="H153" i="1"/>
  <c r="J153" i="1" s="1"/>
  <c r="H152" i="1"/>
  <c r="J152" i="1" s="1"/>
  <c r="H151" i="1"/>
  <c r="J151" i="1" s="1"/>
  <c r="H150" i="1"/>
  <c r="J150" i="1" s="1"/>
  <c r="H149" i="1"/>
  <c r="H148" i="1"/>
  <c r="H147" i="1"/>
  <c r="J147" i="1" s="1"/>
  <c r="H146" i="1"/>
  <c r="J146" i="1" s="1"/>
  <c r="H145" i="1"/>
  <c r="J145" i="1" s="1"/>
  <c r="H144" i="1"/>
  <c r="J144" i="1" s="1"/>
  <c r="H143" i="1"/>
  <c r="H142" i="1"/>
  <c r="H141" i="1"/>
  <c r="H140" i="1"/>
  <c r="J140" i="1" s="1"/>
  <c r="H139" i="1"/>
  <c r="J139" i="1" s="1"/>
  <c r="H138" i="1"/>
  <c r="J138" i="1" s="1"/>
  <c r="H137" i="1"/>
  <c r="J137" i="1" s="1"/>
  <c r="H136" i="1"/>
  <c r="H135" i="1"/>
  <c r="J135" i="1" s="1"/>
  <c r="H134" i="1"/>
  <c r="J134" i="1" s="1"/>
  <c r="H133" i="1"/>
  <c r="J133" i="1" s="1"/>
  <c r="H132" i="1"/>
  <c r="H131" i="1"/>
  <c r="H130" i="1"/>
  <c r="J130" i="1" s="1"/>
  <c r="H129" i="1"/>
  <c r="J129" i="1" s="1"/>
  <c r="H128" i="1"/>
  <c r="J128" i="1" s="1"/>
  <c r="H127" i="1"/>
  <c r="J127" i="1" s="1"/>
  <c r="H126" i="1"/>
  <c r="J126" i="1" s="1"/>
  <c r="H125" i="1"/>
  <c r="J125" i="1" s="1"/>
  <c r="H124" i="1"/>
  <c r="H123" i="1"/>
  <c r="J123" i="1" s="1"/>
  <c r="H122" i="1"/>
  <c r="H121" i="1"/>
  <c r="J121" i="1" s="1"/>
  <c r="H120" i="1"/>
  <c r="J120" i="1" s="1"/>
  <c r="H119" i="1"/>
  <c r="H118" i="1"/>
  <c r="J118" i="1" s="1"/>
  <c r="H117" i="1"/>
  <c r="J117" i="1" s="1"/>
  <c r="H116" i="1"/>
  <c r="H115" i="1"/>
  <c r="J115" i="1" s="1"/>
  <c r="H114" i="1"/>
  <c r="H113" i="1"/>
  <c r="J113" i="1" s="1"/>
  <c r="H112" i="1"/>
  <c r="H111" i="1"/>
  <c r="J111" i="1" s="1"/>
  <c r="H110" i="1"/>
  <c r="J110" i="1" s="1"/>
  <c r="H109" i="1"/>
  <c r="J109" i="1" s="1"/>
  <c r="H108" i="1"/>
  <c r="H107" i="1"/>
  <c r="H106" i="1"/>
  <c r="J106" i="1" s="1"/>
  <c r="H105" i="1"/>
  <c r="J105" i="1" s="1"/>
  <c r="H104" i="1"/>
  <c r="J104" i="1" s="1"/>
  <c r="H103" i="1"/>
  <c r="J103" i="1" s="1"/>
  <c r="H102" i="1"/>
  <c r="H101" i="1"/>
  <c r="H100" i="1"/>
  <c r="H99" i="1"/>
  <c r="J99" i="1" s="1"/>
  <c r="H98" i="1"/>
  <c r="H97" i="1"/>
  <c r="J97" i="1" s="1"/>
  <c r="H96" i="1"/>
  <c r="J96" i="1" s="1"/>
  <c r="H95" i="1"/>
  <c r="H94" i="1"/>
  <c r="J94" i="1" s="1"/>
  <c r="H93" i="1"/>
  <c r="J93" i="1" s="1"/>
  <c r="H92" i="1"/>
  <c r="H91" i="1"/>
  <c r="J91" i="1" s="1"/>
  <c r="H90" i="1"/>
  <c r="H89" i="1"/>
  <c r="J89" i="1" s="1"/>
  <c r="H88" i="1"/>
  <c r="H87" i="1"/>
  <c r="J87" i="1" s="1"/>
  <c r="H86" i="1"/>
  <c r="J86" i="1" s="1"/>
  <c r="H85" i="1"/>
  <c r="J85" i="1" s="1"/>
  <c r="H84" i="1"/>
  <c r="H83" i="1"/>
  <c r="H82" i="1"/>
  <c r="J82" i="1" s="1"/>
  <c r="H81" i="1"/>
  <c r="J81" i="1" s="1"/>
  <c r="H80" i="1"/>
  <c r="J80" i="1" s="1"/>
  <c r="H79" i="1"/>
  <c r="J79" i="1" s="1"/>
  <c r="H78" i="1"/>
  <c r="H77" i="1"/>
  <c r="H76" i="1"/>
  <c r="H75" i="1"/>
  <c r="J75" i="1" s="1"/>
  <c r="H74" i="1"/>
  <c r="J74" i="1" s="1"/>
  <c r="H73" i="1"/>
  <c r="J73" i="1" s="1"/>
  <c r="H72" i="1"/>
  <c r="J72" i="1" s="1"/>
  <c r="H71" i="1"/>
  <c r="H70" i="1"/>
  <c r="H69" i="1"/>
  <c r="H68" i="1"/>
  <c r="J68" i="1" s="1"/>
  <c r="H67" i="1"/>
  <c r="J67" i="1" s="1"/>
  <c r="H66" i="1"/>
  <c r="H65" i="1"/>
  <c r="J65" i="1" s="1"/>
  <c r="H64" i="1"/>
  <c r="H63" i="1"/>
  <c r="J63" i="1" s="1"/>
  <c r="H62" i="1"/>
  <c r="J62" i="1" s="1"/>
  <c r="H61" i="1"/>
  <c r="J61" i="1" s="1"/>
  <c r="H60" i="1"/>
  <c r="H59" i="1"/>
  <c r="H58" i="1"/>
  <c r="J58" i="1" s="1"/>
  <c r="H57" i="1"/>
  <c r="J57" i="1" s="1"/>
  <c r="H56" i="1"/>
  <c r="J56" i="1" s="1"/>
  <c r="H55" i="1"/>
  <c r="J55" i="1" s="1"/>
  <c r="H54" i="1"/>
  <c r="H53" i="1"/>
  <c r="J53" i="1" s="1"/>
  <c r="H52" i="1"/>
  <c r="H51" i="1"/>
  <c r="J51" i="1" s="1"/>
  <c r="H50" i="1"/>
  <c r="J50" i="1" s="1"/>
  <c r="H49" i="1"/>
  <c r="J49" i="1" s="1"/>
  <c r="H48" i="1"/>
  <c r="J48" i="1" s="1"/>
  <c r="H47" i="1"/>
  <c r="H46" i="1"/>
  <c r="J46" i="1" s="1"/>
  <c r="H45" i="1"/>
  <c r="H44" i="1"/>
  <c r="H43" i="1"/>
  <c r="J43" i="1" s="1"/>
  <c r="H42" i="1"/>
  <c r="H41" i="1"/>
  <c r="J41" i="1" s="1"/>
  <c r="H40" i="1"/>
  <c r="H39" i="1"/>
  <c r="J39" i="1" s="1"/>
  <c r="H38" i="1"/>
  <c r="J38" i="1" s="1"/>
  <c r="H37" i="1"/>
  <c r="J37" i="1" s="1"/>
  <c r="H36" i="1"/>
  <c r="J36" i="1" s="1"/>
  <c r="H35" i="1"/>
  <c r="H34" i="1"/>
  <c r="J34" i="1" s="1"/>
  <c r="H33" i="1"/>
  <c r="J33" i="1" s="1"/>
  <c r="H32" i="1"/>
  <c r="J32" i="1" s="1"/>
  <c r="H31" i="1"/>
  <c r="J31" i="1" s="1"/>
  <c r="H30" i="1"/>
  <c r="H29" i="1"/>
  <c r="J29" i="1" s="1"/>
  <c r="H28" i="1"/>
  <c r="H27" i="1"/>
  <c r="J27" i="1" s="1"/>
  <c r="H26" i="1"/>
  <c r="J26" i="1" s="1"/>
  <c r="H25" i="1"/>
  <c r="J25" i="1" s="1"/>
  <c r="H24" i="1"/>
  <c r="J24" i="1" s="1"/>
  <c r="H23" i="1"/>
  <c r="H22" i="1"/>
  <c r="J22" i="1" s="1"/>
  <c r="H21" i="1"/>
  <c r="J21" i="1" s="1"/>
  <c r="G250" i="1"/>
  <c r="G241" i="1"/>
  <c r="G233" i="1"/>
  <c r="G225" i="1"/>
  <c r="G223" i="1"/>
  <c r="G213" i="1"/>
  <c r="G206" i="1"/>
  <c r="G205" i="1"/>
  <c r="G197" i="1"/>
  <c r="G186" i="1"/>
  <c r="G177" i="1"/>
  <c r="G169" i="1"/>
  <c r="G161" i="1"/>
  <c r="G159" i="1"/>
  <c r="G150" i="1"/>
  <c r="G149" i="1"/>
  <c r="N149" i="1" s="1"/>
  <c r="O149" i="1" s="1"/>
  <c r="P149" i="1" s="1"/>
  <c r="G141" i="1"/>
  <c r="G133" i="1"/>
  <c r="G113" i="1"/>
  <c r="G105" i="1"/>
  <c r="G97" i="1"/>
  <c r="G86" i="1"/>
  <c r="G85" i="1"/>
  <c r="G77" i="1"/>
  <c r="G69" i="1"/>
  <c r="G60" i="1"/>
  <c r="G51" i="1"/>
  <c r="G49" i="1"/>
  <c r="G41" i="1"/>
  <c r="G39" i="1"/>
  <c r="G33" i="1"/>
  <c r="G30" i="1"/>
  <c r="G21" i="1"/>
  <c r="F256" i="1"/>
  <c r="F255" i="1"/>
  <c r="G255" i="1" s="1"/>
  <c r="F254" i="1"/>
  <c r="F253" i="1"/>
  <c r="F252" i="1"/>
  <c r="G252" i="1" s="1"/>
  <c r="F251" i="1"/>
  <c r="G251" i="1" s="1"/>
  <c r="F250" i="1"/>
  <c r="F249" i="1"/>
  <c r="G249" i="1" s="1"/>
  <c r="F248" i="1"/>
  <c r="F247" i="1"/>
  <c r="F246" i="1"/>
  <c r="F245" i="1"/>
  <c r="F244" i="1"/>
  <c r="G244" i="1" s="1"/>
  <c r="F243" i="1"/>
  <c r="G243" i="1" s="1"/>
  <c r="F242" i="1"/>
  <c r="G242" i="1" s="1"/>
  <c r="F241" i="1"/>
  <c r="F240" i="1"/>
  <c r="F239" i="1"/>
  <c r="F238" i="1"/>
  <c r="F237" i="1"/>
  <c r="F236" i="1"/>
  <c r="G236" i="1" s="1"/>
  <c r="F235" i="1"/>
  <c r="G235" i="1" s="1"/>
  <c r="F234" i="1"/>
  <c r="G234" i="1" s="1"/>
  <c r="F233" i="1"/>
  <c r="F232" i="1"/>
  <c r="F231" i="1"/>
  <c r="F230" i="1"/>
  <c r="F229" i="1"/>
  <c r="F228" i="1"/>
  <c r="G228" i="1" s="1"/>
  <c r="F227" i="1"/>
  <c r="G227" i="1" s="1"/>
  <c r="F226" i="1"/>
  <c r="G226" i="1" s="1"/>
  <c r="F225" i="1"/>
  <c r="F224" i="1"/>
  <c r="F223" i="1"/>
  <c r="F222" i="1"/>
  <c r="F221" i="1"/>
  <c r="F220" i="1"/>
  <c r="G220" i="1" s="1"/>
  <c r="F219" i="1"/>
  <c r="G219" i="1" s="1"/>
  <c r="F218" i="1"/>
  <c r="G218" i="1" s="1"/>
  <c r="F217" i="1"/>
  <c r="G217" i="1" s="1"/>
  <c r="F216" i="1"/>
  <c r="F215" i="1"/>
  <c r="F214" i="1"/>
  <c r="F213" i="1"/>
  <c r="F212" i="1"/>
  <c r="G212" i="1" s="1"/>
  <c r="F211" i="1"/>
  <c r="G211" i="1" s="1"/>
  <c r="F210" i="1"/>
  <c r="G210" i="1" s="1"/>
  <c r="F209" i="1"/>
  <c r="G209" i="1" s="1"/>
  <c r="F208" i="1"/>
  <c r="F207" i="1"/>
  <c r="F206" i="1"/>
  <c r="F205" i="1"/>
  <c r="F204" i="1"/>
  <c r="G204" i="1" s="1"/>
  <c r="F203" i="1"/>
  <c r="G203" i="1" s="1"/>
  <c r="F202" i="1"/>
  <c r="G202" i="1" s="1"/>
  <c r="F201" i="1"/>
  <c r="G201" i="1" s="1"/>
  <c r="F200" i="1"/>
  <c r="F199" i="1"/>
  <c r="F198" i="1"/>
  <c r="F197" i="1"/>
  <c r="F196" i="1"/>
  <c r="G196" i="1" s="1"/>
  <c r="F195" i="1"/>
  <c r="G195" i="1" s="1"/>
  <c r="F194" i="1"/>
  <c r="G194" i="1" s="1"/>
  <c r="F193" i="1"/>
  <c r="G193" i="1" s="1"/>
  <c r="F192" i="1"/>
  <c r="F191" i="1"/>
  <c r="G191" i="1" s="1"/>
  <c r="F190" i="1"/>
  <c r="F189" i="1"/>
  <c r="F188" i="1"/>
  <c r="G188" i="1" s="1"/>
  <c r="F187" i="1"/>
  <c r="G187" i="1" s="1"/>
  <c r="F186" i="1"/>
  <c r="F185" i="1"/>
  <c r="G185" i="1" s="1"/>
  <c r="F184" i="1"/>
  <c r="F183" i="1"/>
  <c r="F182" i="1"/>
  <c r="F181" i="1"/>
  <c r="F180" i="1"/>
  <c r="G180" i="1" s="1"/>
  <c r="F179" i="1"/>
  <c r="G179" i="1" s="1"/>
  <c r="F178" i="1"/>
  <c r="G178" i="1" s="1"/>
  <c r="F177" i="1"/>
  <c r="F176" i="1"/>
  <c r="F175" i="1"/>
  <c r="F174" i="1"/>
  <c r="F173" i="1"/>
  <c r="F172" i="1"/>
  <c r="G172" i="1" s="1"/>
  <c r="F171" i="1"/>
  <c r="G171" i="1" s="1"/>
  <c r="F170" i="1"/>
  <c r="G170" i="1" s="1"/>
  <c r="N170" i="1" s="1"/>
  <c r="O170" i="1" s="1"/>
  <c r="P170" i="1" s="1"/>
  <c r="F169" i="1"/>
  <c r="F168" i="1"/>
  <c r="F167" i="1"/>
  <c r="F166" i="1"/>
  <c r="F165" i="1"/>
  <c r="F164" i="1"/>
  <c r="G164" i="1" s="1"/>
  <c r="F163" i="1"/>
  <c r="G163" i="1" s="1"/>
  <c r="F162" i="1"/>
  <c r="G162" i="1" s="1"/>
  <c r="F161" i="1"/>
  <c r="F160" i="1"/>
  <c r="F159" i="1"/>
  <c r="F158" i="1"/>
  <c r="F157" i="1"/>
  <c r="F156" i="1"/>
  <c r="G156" i="1" s="1"/>
  <c r="F155" i="1"/>
  <c r="G155" i="1" s="1"/>
  <c r="F154" i="1"/>
  <c r="G154" i="1" s="1"/>
  <c r="F153" i="1"/>
  <c r="G153" i="1" s="1"/>
  <c r="F152" i="1"/>
  <c r="F151" i="1"/>
  <c r="F150" i="1"/>
  <c r="F149" i="1"/>
  <c r="F148" i="1"/>
  <c r="G148" i="1" s="1"/>
  <c r="F147" i="1"/>
  <c r="G147" i="1" s="1"/>
  <c r="F146" i="1"/>
  <c r="G146" i="1" s="1"/>
  <c r="F145" i="1"/>
  <c r="G145" i="1" s="1"/>
  <c r="F144" i="1"/>
  <c r="F143" i="1"/>
  <c r="F142" i="1"/>
  <c r="F141" i="1"/>
  <c r="F140" i="1"/>
  <c r="G140" i="1" s="1"/>
  <c r="F139" i="1"/>
  <c r="G139" i="1" s="1"/>
  <c r="F138" i="1"/>
  <c r="G138" i="1" s="1"/>
  <c r="F137" i="1"/>
  <c r="G137" i="1" s="1"/>
  <c r="F136" i="1"/>
  <c r="F135" i="1"/>
  <c r="F134" i="1"/>
  <c r="F133" i="1"/>
  <c r="F132" i="1"/>
  <c r="G132" i="1" s="1"/>
  <c r="F131" i="1"/>
  <c r="G131" i="1" s="1"/>
  <c r="F130" i="1"/>
  <c r="G130" i="1" s="1"/>
  <c r="F129" i="1"/>
  <c r="G129" i="1" s="1"/>
  <c r="F128" i="1"/>
  <c r="F127" i="1"/>
  <c r="G127" i="1" s="1"/>
  <c r="F126" i="1"/>
  <c r="F125" i="1"/>
  <c r="F124" i="1"/>
  <c r="G124" i="1" s="1"/>
  <c r="F123" i="1"/>
  <c r="G123" i="1" s="1"/>
  <c r="F122" i="1"/>
  <c r="G122" i="1" s="1"/>
  <c r="N122" i="1" s="1"/>
  <c r="O122" i="1" s="1"/>
  <c r="P122" i="1" s="1"/>
  <c r="F121" i="1"/>
  <c r="G121" i="1" s="1"/>
  <c r="F120" i="1"/>
  <c r="F119" i="1"/>
  <c r="F118" i="1"/>
  <c r="F117" i="1"/>
  <c r="F116" i="1"/>
  <c r="G116" i="1" s="1"/>
  <c r="F115" i="1"/>
  <c r="G115" i="1" s="1"/>
  <c r="F114" i="1"/>
  <c r="G114" i="1" s="1"/>
  <c r="F113" i="1"/>
  <c r="F112" i="1"/>
  <c r="F111" i="1"/>
  <c r="F110" i="1"/>
  <c r="F109" i="1"/>
  <c r="F108" i="1"/>
  <c r="G108" i="1" s="1"/>
  <c r="F107" i="1"/>
  <c r="G107" i="1" s="1"/>
  <c r="F106" i="1"/>
  <c r="G106" i="1" s="1"/>
  <c r="F105" i="1"/>
  <c r="F104" i="1"/>
  <c r="F103" i="1"/>
  <c r="F102" i="1"/>
  <c r="F101" i="1"/>
  <c r="F100" i="1"/>
  <c r="G100" i="1" s="1"/>
  <c r="F99" i="1"/>
  <c r="G99" i="1" s="1"/>
  <c r="F98" i="1"/>
  <c r="G98" i="1" s="1"/>
  <c r="F97" i="1"/>
  <c r="F96" i="1"/>
  <c r="F95" i="1"/>
  <c r="F94" i="1"/>
  <c r="F93" i="1"/>
  <c r="F92" i="1"/>
  <c r="G92" i="1" s="1"/>
  <c r="F91" i="1"/>
  <c r="G91" i="1" s="1"/>
  <c r="F90" i="1"/>
  <c r="G90" i="1" s="1"/>
  <c r="F89" i="1"/>
  <c r="G89" i="1" s="1"/>
  <c r="F88" i="1"/>
  <c r="F87" i="1"/>
  <c r="F86" i="1"/>
  <c r="F85" i="1"/>
  <c r="F84" i="1"/>
  <c r="G84" i="1" s="1"/>
  <c r="F83" i="1"/>
  <c r="G83" i="1" s="1"/>
  <c r="F82" i="1"/>
  <c r="G82" i="1" s="1"/>
  <c r="F81" i="1"/>
  <c r="G81" i="1" s="1"/>
  <c r="F80" i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F71" i="1"/>
  <c r="F70" i="1"/>
  <c r="F69" i="1"/>
  <c r="F68" i="1"/>
  <c r="G68" i="1" s="1"/>
  <c r="F67" i="1"/>
  <c r="G67" i="1" s="1"/>
  <c r="F66" i="1"/>
  <c r="G66" i="1" s="1"/>
  <c r="F65" i="1"/>
  <c r="G65" i="1" s="1"/>
  <c r="F64" i="1"/>
  <c r="F63" i="1"/>
  <c r="G63" i="1" s="1"/>
  <c r="F62" i="1"/>
  <c r="F61" i="1"/>
  <c r="F60" i="1"/>
  <c r="F59" i="1"/>
  <c r="G59" i="1" s="1"/>
  <c r="F58" i="1"/>
  <c r="G58" i="1" s="1"/>
  <c r="F57" i="1"/>
  <c r="G57" i="1" s="1"/>
  <c r="F56" i="1"/>
  <c r="F55" i="1"/>
  <c r="F54" i="1"/>
  <c r="F53" i="1"/>
  <c r="F52" i="1"/>
  <c r="G52" i="1" s="1"/>
  <c r="F51" i="1"/>
  <c r="F50" i="1"/>
  <c r="G50" i="1" s="1"/>
  <c r="F49" i="1"/>
  <c r="F48" i="1"/>
  <c r="F47" i="1"/>
  <c r="F46" i="1"/>
  <c r="F45" i="1"/>
  <c r="F44" i="1"/>
  <c r="G44" i="1" s="1"/>
  <c r="F43" i="1"/>
  <c r="G43" i="1" s="1"/>
  <c r="F42" i="1"/>
  <c r="G42" i="1" s="1"/>
  <c r="F41" i="1"/>
  <c r="F40" i="1"/>
  <c r="F39" i="1"/>
  <c r="F38" i="1"/>
  <c r="F37" i="1"/>
  <c r="F36" i="1"/>
  <c r="G36" i="1" s="1"/>
  <c r="F35" i="1"/>
  <c r="G35" i="1" s="1"/>
  <c r="F34" i="1"/>
  <c r="G34" i="1" s="1"/>
  <c r="F33" i="1"/>
  <c r="F32" i="1"/>
  <c r="F31" i="1"/>
  <c r="F30" i="1"/>
  <c r="F29" i="1"/>
  <c r="F28" i="1"/>
  <c r="G28" i="1" s="1"/>
  <c r="F27" i="1"/>
  <c r="G27" i="1" s="1"/>
  <c r="F26" i="1"/>
  <c r="G26" i="1" s="1"/>
  <c r="N26" i="1" s="1"/>
  <c r="O26" i="1" s="1"/>
  <c r="P26" i="1" s="1"/>
  <c r="F25" i="1"/>
  <c r="G25" i="1" s="1"/>
  <c r="F24" i="1"/>
  <c r="F23" i="1"/>
  <c r="F22" i="1"/>
  <c r="F21" i="1"/>
  <c r="E256" i="1"/>
  <c r="E255" i="1"/>
  <c r="E254" i="1"/>
  <c r="E253" i="1"/>
  <c r="G253" i="1" s="1"/>
  <c r="E252" i="1"/>
  <c r="E251" i="1"/>
  <c r="E250" i="1"/>
  <c r="E249" i="1"/>
  <c r="E248" i="1"/>
  <c r="E247" i="1"/>
  <c r="G247" i="1" s="1"/>
  <c r="E246" i="1"/>
  <c r="E245" i="1"/>
  <c r="G245" i="1" s="1"/>
  <c r="E244" i="1"/>
  <c r="E243" i="1"/>
  <c r="E242" i="1"/>
  <c r="E241" i="1"/>
  <c r="E240" i="1"/>
  <c r="E239" i="1"/>
  <c r="G239" i="1" s="1"/>
  <c r="E238" i="1"/>
  <c r="E237" i="1"/>
  <c r="G237" i="1" s="1"/>
  <c r="E236" i="1"/>
  <c r="E235" i="1"/>
  <c r="E234" i="1"/>
  <c r="E233" i="1"/>
  <c r="E232" i="1"/>
  <c r="E231" i="1"/>
  <c r="G231" i="1" s="1"/>
  <c r="E230" i="1"/>
  <c r="E229" i="1"/>
  <c r="G229" i="1" s="1"/>
  <c r="E228" i="1"/>
  <c r="E227" i="1"/>
  <c r="E226" i="1"/>
  <c r="E225" i="1"/>
  <c r="E224" i="1"/>
  <c r="E223" i="1"/>
  <c r="E222" i="1"/>
  <c r="G222" i="1" s="1"/>
  <c r="E221" i="1"/>
  <c r="G221" i="1" s="1"/>
  <c r="E220" i="1"/>
  <c r="E219" i="1"/>
  <c r="E218" i="1"/>
  <c r="E217" i="1"/>
  <c r="E216" i="1"/>
  <c r="E215" i="1"/>
  <c r="G215" i="1" s="1"/>
  <c r="E214" i="1"/>
  <c r="G214" i="1" s="1"/>
  <c r="E213" i="1"/>
  <c r="E212" i="1"/>
  <c r="E211" i="1"/>
  <c r="E210" i="1"/>
  <c r="E209" i="1"/>
  <c r="E208" i="1"/>
  <c r="E207" i="1"/>
  <c r="G207" i="1" s="1"/>
  <c r="E206" i="1"/>
  <c r="E205" i="1"/>
  <c r="E204" i="1"/>
  <c r="E203" i="1"/>
  <c r="E202" i="1"/>
  <c r="E201" i="1"/>
  <c r="E200" i="1"/>
  <c r="E199" i="1"/>
  <c r="G199" i="1" s="1"/>
  <c r="E198" i="1"/>
  <c r="E197" i="1"/>
  <c r="E196" i="1"/>
  <c r="E195" i="1"/>
  <c r="E194" i="1"/>
  <c r="E193" i="1"/>
  <c r="E192" i="1"/>
  <c r="E191" i="1"/>
  <c r="E190" i="1"/>
  <c r="E189" i="1"/>
  <c r="G189" i="1" s="1"/>
  <c r="E188" i="1"/>
  <c r="E187" i="1"/>
  <c r="E186" i="1"/>
  <c r="E185" i="1"/>
  <c r="E184" i="1"/>
  <c r="E183" i="1"/>
  <c r="G183" i="1" s="1"/>
  <c r="E182" i="1"/>
  <c r="E181" i="1"/>
  <c r="G181" i="1" s="1"/>
  <c r="E180" i="1"/>
  <c r="E179" i="1"/>
  <c r="E178" i="1"/>
  <c r="E177" i="1"/>
  <c r="E176" i="1"/>
  <c r="E175" i="1"/>
  <c r="G175" i="1" s="1"/>
  <c r="E174" i="1"/>
  <c r="E173" i="1"/>
  <c r="G173" i="1" s="1"/>
  <c r="E172" i="1"/>
  <c r="E171" i="1"/>
  <c r="E170" i="1"/>
  <c r="E169" i="1"/>
  <c r="E168" i="1"/>
  <c r="E167" i="1"/>
  <c r="G167" i="1" s="1"/>
  <c r="E166" i="1"/>
  <c r="E165" i="1"/>
  <c r="G165" i="1" s="1"/>
  <c r="E164" i="1"/>
  <c r="E163" i="1"/>
  <c r="E162" i="1"/>
  <c r="E161" i="1"/>
  <c r="E160" i="1"/>
  <c r="E159" i="1"/>
  <c r="E158" i="1"/>
  <c r="G158" i="1" s="1"/>
  <c r="N158" i="1" s="1"/>
  <c r="O158" i="1" s="1"/>
  <c r="P158" i="1" s="1"/>
  <c r="E157" i="1"/>
  <c r="G157" i="1" s="1"/>
  <c r="E156" i="1"/>
  <c r="E155" i="1"/>
  <c r="E154" i="1"/>
  <c r="E153" i="1"/>
  <c r="E152" i="1"/>
  <c r="E151" i="1"/>
  <c r="G151" i="1" s="1"/>
  <c r="E150" i="1"/>
  <c r="E149" i="1"/>
  <c r="E148" i="1"/>
  <c r="E147" i="1"/>
  <c r="E146" i="1"/>
  <c r="E145" i="1"/>
  <c r="E144" i="1"/>
  <c r="E143" i="1"/>
  <c r="G143" i="1" s="1"/>
  <c r="E142" i="1"/>
  <c r="G142" i="1" s="1"/>
  <c r="E141" i="1"/>
  <c r="E140" i="1"/>
  <c r="E139" i="1"/>
  <c r="E138" i="1"/>
  <c r="E137" i="1"/>
  <c r="E136" i="1"/>
  <c r="E135" i="1"/>
  <c r="G135" i="1" s="1"/>
  <c r="E134" i="1"/>
  <c r="E133" i="1"/>
  <c r="E132" i="1"/>
  <c r="E131" i="1"/>
  <c r="E130" i="1"/>
  <c r="E129" i="1"/>
  <c r="E128" i="1"/>
  <c r="E127" i="1"/>
  <c r="E126" i="1"/>
  <c r="E125" i="1"/>
  <c r="G125" i="1" s="1"/>
  <c r="E124" i="1"/>
  <c r="E123" i="1"/>
  <c r="E122" i="1"/>
  <c r="E121" i="1"/>
  <c r="E120" i="1"/>
  <c r="E119" i="1"/>
  <c r="G119" i="1" s="1"/>
  <c r="E118" i="1"/>
  <c r="E117" i="1"/>
  <c r="G117" i="1" s="1"/>
  <c r="E116" i="1"/>
  <c r="E115" i="1"/>
  <c r="E114" i="1"/>
  <c r="E113" i="1"/>
  <c r="E112" i="1"/>
  <c r="E111" i="1"/>
  <c r="G111" i="1" s="1"/>
  <c r="E110" i="1"/>
  <c r="E109" i="1"/>
  <c r="G109" i="1" s="1"/>
  <c r="E108" i="1"/>
  <c r="E107" i="1"/>
  <c r="E106" i="1"/>
  <c r="E105" i="1"/>
  <c r="E104" i="1"/>
  <c r="E103" i="1"/>
  <c r="G103" i="1" s="1"/>
  <c r="E102" i="1"/>
  <c r="E101" i="1"/>
  <c r="G101" i="1" s="1"/>
  <c r="E100" i="1"/>
  <c r="E99" i="1"/>
  <c r="E98" i="1"/>
  <c r="E97" i="1"/>
  <c r="E96" i="1"/>
  <c r="E95" i="1"/>
  <c r="G95" i="1" s="1"/>
  <c r="E94" i="1"/>
  <c r="G94" i="1" s="1"/>
  <c r="E93" i="1"/>
  <c r="G93" i="1" s="1"/>
  <c r="E92" i="1"/>
  <c r="E91" i="1"/>
  <c r="E90" i="1"/>
  <c r="E89" i="1"/>
  <c r="E88" i="1"/>
  <c r="E87" i="1"/>
  <c r="G87" i="1" s="1"/>
  <c r="E86" i="1"/>
  <c r="E85" i="1"/>
  <c r="E84" i="1"/>
  <c r="E83" i="1"/>
  <c r="E82" i="1"/>
  <c r="E81" i="1"/>
  <c r="E80" i="1"/>
  <c r="E79" i="1"/>
  <c r="G79" i="1" s="1"/>
  <c r="E78" i="1"/>
  <c r="G78" i="1" s="1"/>
  <c r="E77" i="1"/>
  <c r="E76" i="1"/>
  <c r="E75" i="1"/>
  <c r="E74" i="1"/>
  <c r="E73" i="1"/>
  <c r="E72" i="1"/>
  <c r="E71" i="1"/>
  <c r="G71" i="1" s="1"/>
  <c r="E70" i="1"/>
  <c r="E69" i="1"/>
  <c r="E68" i="1"/>
  <c r="E67" i="1"/>
  <c r="E66" i="1"/>
  <c r="E65" i="1"/>
  <c r="E64" i="1"/>
  <c r="E63" i="1"/>
  <c r="E62" i="1"/>
  <c r="E61" i="1"/>
  <c r="G61" i="1" s="1"/>
  <c r="E60" i="1"/>
  <c r="E59" i="1"/>
  <c r="E58" i="1"/>
  <c r="E57" i="1"/>
  <c r="E56" i="1"/>
  <c r="E55" i="1"/>
  <c r="G55" i="1" s="1"/>
  <c r="E54" i="1"/>
  <c r="E53" i="1"/>
  <c r="G53" i="1" s="1"/>
  <c r="E52" i="1"/>
  <c r="E51" i="1"/>
  <c r="E50" i="1"/>
  <c r="E49" i="1"/>
  <c r="E48" i="1"/>
  <c r="E47" i="1"/>
  <c r="G47" i="1" s="1"/>
  <c r="E46" i="1"/>
  <c r="E45" i="1"/>
  <c r="G45" i="1" s="1"/>
  <c r="E44" i="1"/>
  <c r="E43" i="1"/>
  <c r="E42" i="1"/>
  <c r="E41" i="1"/>
  <c r="E40" i="1"/>
  <c r="E39" i="1"/>
  <c r="E38" i="1"/>
  <c r="E37" i="1"/>
  <c r="G37" i="1" s="1"/>
  <c r="E36" i="1"/>
  <c r="E35" i="1"/>
  <c r="E34" i="1"/>
  <c r="E33" i="1"/>
  <c r="E32" i="1"/>
  <c r="E31" i="1"/>
  <c r="G31" i="1" s="1"/>
  <c r="E30" i="1"/>
  <c r="E29" i="1"/>
  <c r="G29" i="1" s="1"/>
  <c r="N29" i="1" s="1"/>
  <c r="O29" i="1" s="1"/>
  <c r="P29" i="1" s="1"/>
  <c r="E28" i="1"/>
  <c r="E27" i="1"/>
  <c r="E26" i="1"/>
  <c r="E25" i="1"/>
  <c r="E24" i="1"/>
  <c r="E23" i="1"/>
  <c r="G23" i="1" s="1"/>
  <c r="E22" i="1"/>
  <c r="G22" i="1" s="1"/>
  <c r="E21" i="1"/>
  <c r="F20" i="1"/>
  <c r="G20" i="1" s="1"/>
  <c r="E20" i="1"/>
  <c r="M251" i="1"/>
  <c r="M234" i="1"/>
  <c r="M198" i="1"/>
  <c r="M187" i="1"/>
  <c r="M178" i="1"/>
  <c r="M170" i="1"/>
  <c r="M162" i="1"/>
  <c r="M139" i="1"/>
  <c r="M126" i="1"/>
  <c r="M122" i="1"/>
  <c r="M110" i="1"/>
  <c r="M106" i="1"/>
  <c r="M94" i="1"/>
  <c r="M90" i="1"/>
  <c r="M78" i="1"/>
  <c r="M74" i="1"/>
  <c r="M62" i="1"/>
  <c r="M58" i="1"/>
  <c r="M46" i="1"/>
  <c r="M42" i="1"/>
  <c r="M30" i="1"/>
  <c r="M26" i="1"/>
  <c r="L256" i="1"/>
  <c r="M256" i="1" s="1"/>
  <c r="L255" i="1"/>
  <c r="L254" i="1"/>
  <c r="L253" i="1"/>
  <c r="L252" i="1"/>
  <c r="L251" i="1"/>
  <c r="L250" i="1"/>
  <c r="M250" i="1" s="1"/>
  <c r="L249" i="1"/>
  <c r="L248" i="1"/>
  <c r="M248" i="1" s="1"/>
  <c r="L247" i="1"/>
  <c r="L246" i="1"/>
  <c r="L245" i="1"/>
  <c r="M245" i="1" s="1"/>
  <c r="L244" i="1"/>
  <c r="L243" i="1"/>
  <c r="M243" i="1" s="1"/>
  <c r="L242" i="1"/>
  <c r="M242" i="1" s="1"/>
  <c r="L241" i="1"/>
  <c r="L240" i="1"/>
  <c r="M240" i="1" s="1"/>
  <c r="L239" i="1"/>
  <c r="L238" i="1"/>
  <c r="L237" i="1"/>
  <c r="M237" i="1" s="1"/>
  <c r="L236" i="1"/>
  <c r="L235" i="1"/>
  <c r="M235" i="1" s="1"/>
  <c r="L234" i="1"/>
  <c r="L233" i="1"/>
  <c r="M233" i="1" s="1"/>
  <c r="L232" i="1"/>
  <c r="M232" i="1" s="1"/>
  <c r="L231" i="1"/>
  <c r="L230" i="1"/>
  <c r="L229" i="1"/>
  <c r="M229" i="1" s="1"/>
  <c r="L228" i="1"/>
  <c r="L227" i="1"/>
  <c r="M227" i="1" s="1"/>
  <c r="L226" i="1"/>
  <c r="M226" i="1" s="1"/>
  <c r="L225" i="1"/>
  <c r="L224" i="1"/>
  <c r="M224" i="1" s="1"/>
  <c r="L223" i="1"/>
  <c r="L222" i="1"/>
  <c r="L221" i="1"/>
  <c r="M221" i="1" s="1"/>
  <c r="L220" i="1"/>
  <c r="L219" i="1"/>
  <c r="M219" i="1" s="1"/>
  <c r="L218" i="1"/>
  <c r="M218" i="1" s="1"/>
  <c r="L217" i="1"/>
  <c r="L216" i="1"/>
  <c r="M216" i="1" s="1"/>
  <c r="L215" i="1"/>
  <c r="L214" i="1"/>
  <c r="L213" i="1"/>
  <c r="M213" i="1" s="1"/>
  <c r="L212" i="1"/>
  <c r="L211" i="1"/>
  <c r="M211" i="1" s="1"/>
  <c r="L210" i="1"/>
  <c r="M210" i="1" s="1"/>
  <c r="L209" i="1"/>
  <c r="L208" i="1"/>
  <c r="M208" i="1" s="1"/>
  <c r="L207" i="1"/>
  <c r="L206" i="1"/>
  <c r="L205" i="1"/>
  <c r="M205" i="1" s="1"/>
  <c r="L204" i="1"/>
  <c r="L203" i="1"/>
  <c r="M203" i="1" s="1"/>
  <c r="L202" i="1"/>
  <c r="M202" i="1" s="1"/>
  <c r="L201" i="1"/>
  <c r="L200" i="1"/>
  <c r="M200" i="1" s="1"/>
  <c r="L199" i="1"/>
  <c r="L198" i="1"/>
  <c r="L197" i="1"/>
  <c r="M197" i="1" s="1"/>
  <c r="L196" i="1"/>
  <c r="L195" i="1"/>
  <c r="M195" i="1" s="1"/>
  <c r="L194" i="1"/>
  <c r="M194" i="1" s="1"/>
  <c r="L193" i="1"/>
  <c r="L192" i="1"/>
  <c r="M192" i="1" s="1"/>
  <c r="L191" i="1"/>
  <c r="L190" i="1"/>
  <c r="L189" i="1"/>
  <c r="M189" i="1" s="1"/>
  <c r="L188" i="1"/>
  <c r="L187" i="1"/>
  <c r="L186" i="1"/>
  <c r="M186" i="1" s="1"/>
  <c r="L185" i="1"/>
  <c r="L184" i="1"/>
  <c r="M184" i="1" s="1"/>
  <c r="L183" i="1"/>
  <c r="L182" i="1"/>
  <c r="L181" i="1"/>
  <c r="M181" i="1" s="1"/>
  <c r="L180" i="1"/>
  <c r="L179" i="1"/>
  <c r="M179" i="1" s="1"/>
  <c r="L178" i="1"/>
  <c r="L177" i="1"/>
  <c r="L176" i="1"/>
  <c r="M176" i="1" s="1"/>
  <c r="L175" i="1"/>
  <c r="L174" i="1"/>
  <c r="L173" i="1"/>
  <c r="M173" i="1" s="1"/>
  <c r="L172" i="1"/>
  <c r="L171" i="1"/>
  <c r="M171" i="1" s="1"/>
  <c r="L170" i="1"/>
  <c r="L169" i="1"/>
  <c r="L168" i="1"/>
  <c r="M168" i="1" s="1"/>
  <c r="L167" i="1"/>
  <c r="L166" i="1"/>
  <c r="L165" i="1"/>
  <c r="M165" i="1" s="1"/>
  <c r="L164" i="1"/>
  <c r="L163" i="1"/>
  <c r="M163" i="1" s="1"/>
  <c r="L162" i="1"/>
  <c r="L161" i="1"/>
  <c r="M161" i="1" s="1"/>
  <c r="L160" i="1"/>
  <c r="M160" i="1" s="1"/>
  <c r="L159" i="1"/>
  <c r="L158" i="1"/>
  <c r="L157" i="1"/>
  <c r="M157" i="1" s="1"/>
  <c r="L156" i="1"/>
  <c r="L155" i="1"/>
  <c r="M155" i="1" s="1"/>
  <c r="L154" i="1"/>
  <c r="M154" i="1" s="1"/>
  <c r="L153" i="1"/>
  <c r="L152" i="1"/>
  <c r="M152" i="1" s="1"/>
  <c r="L151" i="1"/>
  <c r="L150" i="1"/>
  <c r="L149" i="1"/>
  <c r="M149" i="1" s="1"/>
  <c r="L148" i="1"/>
  <c r="L147" i="1"/>
  <c r="M147" i="1" s="1"/>
  <c r="L146" i="1"/>
  <c r="M146" i="1" s="1"/>
  <c r="L145" i="1"/>
  <c r="L144" i="1"/>
  <c r="M144" i="1" s="1"/>
  <c r="L143" i="1"/>
  <c r="L142" i="1"/>
  <c r="L141" i="1"/>
  <c r="M141" i="1" s="1"/>
  <c r="L140" i="1"/>
  <c r="L139" i="1"/>
  <c r="L138" i="1"/>
  <c r="M138" i="1" s="1"/>
  <c r="L137" i="1"/>
  <c r="L136" i="1"/>
  <c r="M136" i="1" s="1"/>
  <c r="L135" i="1"/>
  <c r="L134" i="1"/>
  <c r="L133" i="1"/>
  <c r="M133" i="1" s="1"/>
  <c r="L132" i="1"/>
  <c r="L131" i="1"/>
  <c r="M131" i="1" s="1"/>
  <c r="L130" i="1"/>
  <c r="M130" i="1" s="1"/>
  <c r="L129" i="1"/>
  <c r="L128" i="1"/>
  <c r="M128" i="1" s="1"/>
  <c r="L127" i="1"/>
  <c r="L126" i="1"/>
  <c r="L125" i="1"/>
  <c r="M125" i="1" s="1"/>
  <c r="L124" i="1"/>
  <c r="L123" i="1"/>
  <c r="M123" i="1" s="1"/>
  <c r="L122" i="1"/>
  <c r="L121" i="1"/>
  <c r="L120" i="1"/>
  <c r="M120" i="1" s="1"/>
  <c r="L119" i="1"/>
  <c r="L118" i="1"/>
  <c r="L117" i="1"/>
  <c r="M117" i="1" s="1"/>
  <c r="L116" i="1"/>
  <c r="L115" i="1"/>
  <c r="M115" i="1" s="1"/>
  <c r="L114" i="1"/>
  <c r="M114" i="1" s="1"/>
  <c r="L113" i="1"/>
  <c r="L112" i="1"/>
  <c r="M112" i="1" s="1"/>
  <c r="L111" i="1"/>
  <c r="L110" i="1"/>
  <c r="L109" i="1"/>
  <c r="M109" i="1" s="1"/>
  <c r="L108" i="1"/>
  <c r="L107" i="1"/>
  <c r="M107" i="1" s="1"/>
  <c r="L106" i="1"/>
  <c r="L105" i="1"/>
  <c r="L104" i="1"/>
  <c r="M104" i="1" s="1"/>
  <c r="L103" i="1"/>
  <c r="L102" i="1"/>
  <c r="L101" i="1"/>
  <c r="M101" i="1" s="1"/>
  <c r="L100" i="1"/>
  <c r="L99" i="1"/>
  <c r="M99" i="1" s="1"/>
  <c r="L98" i="1"/>
  <c r="M98" i="1" s="1"/>
  <c r="L97" i="1"/>
  <c r="L96" i="1"/>
  <c r="M96" i="1" s="1"/>
  <c r="L95" i="1"/>
  <c r="L94" i="1"/>
  <c r="L93" i="1"/>
  <c r="M93" i="1" s="1"/>
  <c r="L92" i="1"/>
  <c r="L91" i="1"/>
  <c r="M91" i="1" s="1"/>
  <c r="L90" i="1"/>
  <c r="L89" i="1"/>
  <c r="L88" i="1"/>
  <c r="M88" i="1" s="1"/>
  <c r="L87" i="1"/>
  <c r="L86" i="1"/>
  <c r="L85" i="1"/>
  <c r="M85" i="1" s="1"/>
  <c r="L84" i="1"/>
  <c r="L83" i="1"/>
  <c r="M83" i="1" s="1"/>
  <c r="L82" i="1"/>
  <c r="M82" i="1" s="1"/>
  <c r="L81" i="1"/>
  <c r="L80" i="1"/>
  <c r="M80" i="1" s="1"/>
  <c r="L79" i="1"/>
  <c r="L78" i="1"/>
  <c r="L77" i="1"/>
  <c r="M77" i="1" s="1"/>
  <c r="L76" i="1"/>
  <c r="L75" i="1"/>
  <c r="M75" i="1" s="1"/>
  <c r="L74" i="1"/>
  <c r="L73" i="1"/>
  <c r="L72" i="1"/>
  <c r="M72" i="1" s="1"/>
  <c r="L71" i="1"/>
  <c r="L70" i="1"/>
  <c r="L69" i="1"/>
  <c r="M69" i="1" s="1"/>
  <c r="L68" i="1"/>
  <c r="L67" i="1"/>
  <c r="M67" i="1" s="1"/>
  <c r="L66" i="1"/>
  <c r="M66" i="1" s="1"/>
  <c r="L65" i="1"/>
  <c r="L64" i="1"/>
  <c r="M64" i="1" s="1"/>
  <c r="L63" i="1"/>
  <c r="L62" i="1"/>
  <c r="L61" i="1"/>
  <c r="M61" i="1" s="1"/>
  <c r="L60" i="1"/>
  <c r="L59" i="1"/>
  <c r="M59" i="1" s="1"/>
  <c r="L58" i="1"/>
  <c r="L57" i="1"/>
  <c r="L56" i="1"/>
  <c r="M56" i="1" s="1"/>
  <c r="L55" i="1"/>
  <c r="L54" i="1"/>
  <c r="L53" i="1"/>
  <c r="M53" i="1" s="1"/>
  <c r="L52" i="1"/>
  <c r="L51" i="1"/>
  <c r="M51" i="1" s="1"/>
  <c r="L50" i="1"/>
  <c r="M50" i="1" s="1"/>
  <c r="L49" i="1"/>
  <c r="L48" i="1"/>
  <c r="M48" i="1" s="1"/>
  <c r="L47" i="1"/>
  <c r="L46" i="1"/>
  <c r="L45" i="1"/>
  <c r="M45" i="1" s="1"/>
  <c r="L44" i="1"/>
  <c r="L43" i="1"/>
  <c r="M43" i="1" s="1"/>
  <c r="L42" i="1"/>
  <c r="L41" i="1"/>
  <c r="L40" i="1"/>
  <c r="M40" i="1" s="1"/>
  <c r="L39" i="1"/>
  <c r="L38" i="1"/>
  <c r="L37" i="1"/>
  <c r="M37" i="1" s="1"/>
  <c r="L36" i="1"/>
  <c r="L35" i="1"/>
  <c r="M35" i="1" s="1"/>
  <c r="L34" i="1"/>
  <c r="M34" i="1" s="1"/>
  <c r="L33" i="1"/>
  <c r="L32" i="1"/>
  <c r="M32" i="1" s="1"/>
  <c r="L31" i="1"/>
  <c r="L30" i="1"/>
  <c r="L29" i="1"/>
  <c r="M29" i="1" s="1"/>
  <c r="L28" i="1"/>
  <c r="L27" i="1"/>
  <c r="M27" i="1" s="1"/>
  <c r="L26" i="1"/>
  <c r="L25" i="1"/>
  <c r="L24" i="1"/>
  <c r="M24" i="1" s="1"/>
  <c r="L23" i="1"/>
  <c r="L22" i="1"/>
  <c r="L21" i="1"/>
  <c r="M21" i="1" s="1"/>
  <c r="K256" i="1"/>
  <c r="K255" i="1"/>
  <c r="K254" i="1"/>
  <c r="K253" i="1"/>
  <c r="M253" i="1" s="1"/>
  <c r="K252" i="1"/>
  <c r="M252" i="1" s="1"/>
  <c r="K251" i="1"/>
  <c r="K250" i="1"/>
  <c r="K249" i="1"/>
  <c r="K248" i="1"/>
  <c r="K247" i="1"/>
  <c r="K246" i="1"/>
  <c r="M246" i="1" s="1"/>
  <c r="K245" i="1"/>
  <c r="K244" i="1"/>
  <c r="M244" i="1" s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M230" i="1" s="1"/>
  <c r="K229" i="1"/>
  <c r="K228" i="1"/>
  <c r="M228" i="1" s="1"/>
  <c r="K227" i="1"/>
  <c r="K226" i="1"/>
  <c r="K225" i="1"/>
  <c r="M225" i="1" s="1"/>
  <c r="K224" i="1"/>
  <c r="K223" i="1"/>
  <c r="K222" i="1"/>
  <c r="M222" i="1" s="1"/>
  <c r="K221" i="1"/>
  <c r="K220" i="1"/>
  <c r="K219" i="1"/>
  <c r="K218" i="1"/>
  <c r="K217" i="1"/>
  <c r="M217" i="1" s="1"/>
  <c r="K216" i="1"/>
  <c r="K215" i="1"/>
  <c r="K214" i="1"/>
  <c r="M214" i="1" s="1"/>
  <c r="K213" i="1"/>
  <c r="K212" i="1"/>
  <c r="M212" i="1" s="1"/>
  <c r="K211" i="1"/>
  <c r="K210" i="1"/>
  <c r="K209" i="1"/>
  <c r="K208" i="1"/>
  <c r="K207" i="1"/>
  <c r="K206" i="1"/>
  <c r="M206" i="1" s="1"/>
  <c r="K205" i="1"/>
  <c r="K204" i="1"/>
  <c r="M204" i="1" s="1"/>
  <c r="K203" i="1"/>
  <c r="K202" i="1"/>
  <c r="K201" i="1"/>
  <c r="K200" i="1"/>
  <c r="K199" i="1"/>
  <c r="K198" i="1"/>
  <c r="K197" i="1"/>
  <c r="K196" i="1"/>
  <c r="M196" i="1" s="1"/>
  <c r="K195" i="1"/>
  <c r="K194" i="1"/>
  <c r="K193" i="1"/>
  <c r="K192" i="1"/>
  <c r="K191" i="1"/>
  <c r="K190" i="1"/>
  <c r="K189" i="1"/>
  <c r="K188" i="1"/>
  <c r="M188" i="1" s="1"/>
  <c r="K187" i="1"/>
  <c r="K186" i="1"/>
  <c r="K185" i="1"/>
  <c r="K184" i="1"/>
  <c r="K183" i="1"/>
  <c r="K182" i="1"/>
  <c r="M182" i="1" s="1"/>
  <c r="K181" i="1"/>
  <c r="K180" i="1"/>
  <c r="M180" i="1" s="1"/>
  <c r="K179" i="1"/>
  <c r="K178" i="1"/>
  <c r="K177" i="1"/>
  <c r="K176" i="1"/>
  <c r="K175" i="1"/>
  <c r="K174" i="1"/>
  <c r="K173" i="1"/>
  <c r="K172" i="1"/>
  <c r="K171" i="1"/>
  <c r="K170" i="1"/>
  <c r="K169" i="1"/>
  <c r="M169" i="1" s="1"/>
  <c r="K168" i="1"/>
  <c r="K167" i="1"/>
  <c r="K166" i="1"/>
  <c r="M166" i="1" s="1"/>
  <c r="K165" i="1"/>
  <c r="K164" i="1"/>
  <c r="M164" i="1" s="1"/>
  <c r="K163" i="1"/>
  <c r="K162" i="1"/>
  <c r="K161" i="1"/>
  <c r="K160" i="1"/>
  <c r="K159" i="1"/>
  <c r="K158" i="1"/>
  <c r="M158" i="1" s="1"/>
  <c r="K157" i="1"/>
  <c r="K156" i="1"/>
  <c r="K155" i="1"/>
  <c r="K154" i="1"/>
  <c r="K153" i="1"/>
  <c r="M153" i="1" s="1"/>
  <c r="K152" i="1"/>
  <c r="K151" i="1"/>
  <c r="K150" i="1"/>
  <c r="M150" i="1" s="1"/>
  <c r="K149" i="1"/>
  <c r="K148" i="1"/>
  <c r="M148" i="1" s="1"/>
  <c r="K147" i="1"/>
  <c r="K146" i="1"/>
  <c r="K145" i="1"/>
  <c r="K144" i="1"/>
  <c r="K143" i="1"/>
  <c r="K142" i="1"/>
  <c r="M142" i="1" s="1"/>
  <c r="K141" i="1"/>
  <c r="K140" i="1"/>
  <c r="M140" i="1" s="1"/>
  <c r="K139" i="1"/>
  <c r="K138" i="1"/>
  <c r="K137" i="1"/>
  <c r="K136" i="1"/>
  <c r="K135" i="1"/>
  <c r="K134" i="1"/>
  <c r="M134" i="1" s="1"/>
  <c r="K133" i="1"/>
  <c r="K132" i="1"/>
  <c r="M132" i="1" s="1"/>
  <c r="K131" i="1"/>
  <c r="K130" i="1"/>
  <c r="K129" i="1"/>
  <c r="K128" i="1"/>
  <c r="K127" i="1"/>
  <c r="K126" i="1"/>
  <c r="K125" i="1"/>
  <c r="K124" i="1"/>
  <c r="M124" i="1" s="1"/>
  <c r="K123" i="1"/>
  <c r="K122" i="1"/>
  <c r="K121" i="1"/>
  <c r="K120" i="1"/>
  <c r="K119" i="1"/>
  <c r="K118" i="1"/>
  <c r="M118" i="1" s="1"/>
  <c r="K117" i="1"/>
  <c r="K116" i="1"/>
  <c r="M116" i="1" s="1"/>
  <c r="K115" i="1"/>
  <c r="K114" i="1"/>
  <c r="K113" i="1"/>
  <c r="K112" i="1"/>
  <c r="K111" i="1"/>
  <c r="K110" i="1"/>
  <c r="K109" i="1"/>
  <c r="K108" i="1"/>
  <c r="M108" i="1" s="1"/>
  <c r="K107" i="1"/>
  <c r="K106" i="1"/>
  <c r="K105" i="1"/>
  <c r="K104" i="1"/>
  <c r="K103" i="1"/>
  <c r="K102" i="1"/>
  <c r="M102" i="1" s="1"/>
  <c r="K101" i="1"/>
  <c r="K100" i="1"/>
  <c r="M100" i="1" s="1"/>
  <c r="K99" i="1"/>
  <c r="K98" i="1"/>
  <c r="K97" i="1"/>
  <c r="K96" i="1"/>
  <c r="K95" i="1"/>
  <c r="K94" i="1"/>
  <c r="K93" i="1"/>
  <c r="K92" i="1"/>
  <c r="M92" i="1" s="1"/>
  <c r="K91" i="1"/>
  <c r="K90" i="1"/>
  <c r="K89" i="1"/>
  <c r="K88" i="1"/>
  <c r="K87" i="1"/>
  <c r="K86" i="1"/>
  <c r="M86" i="1" s="1"/>
  <c r="K85" i="1"/>
  <c r="K84" i="1"/>
  <c r="M84" i="1" s="1"/>
  <c r="K83" i="1"/>
  <c r="K82" i="1"/>
  <c r="K81" i="1"/>
  <c r="K80" i="1"/>
  <c r="K79" i="1"/>
  <c r="K78" i="1"/>
  <c r="K77" i="1"/>
  <c r="K76" i="1"/>
  <c r="M76" i="1" s="1"/>
  <c r="K75" i="1"/>
  <c r="K74" i="1"/>
  <c r="K73" i="1"/>
  <c r="K72" i="1"/>
  <c r="K71" i="1"/>
  <c r="K70" i="1"/>
  <c r="M70" i="1" s="1"/>
  <c r="K69" i="1"/>
  <c r="K68" i="1"/>
  <c r="M68" i="1" s="1"/>
  <c r="K67" i="1"/>
  <c r="K66" i="1"/>
  <c r="K65" i="1"/>
  <c r="K64" i="1"/>
  <c r="K63" i="1"/>
  <c r="K62" i="1"/>
  <c r="K61" i="1"/>
  <c r="K60" i="1"/>
  <c r="M60" i="1" s="1"/>
  <c r="K59" i="1"/>
  <c r="K58" i="1"/>
  <c r="K57" i="1"/>
  <c r="K56" i="1"/>
  <c r="K55" i="1"/>
  <c r="K54" i="1"/>
  <c r="M54" i="1" s="1"/>
  <c r="K53" i="1"/>
  <c r="K52" i="1"/>
  <c r="M52" i="1" s="1"/>
  <c r="K51" i="1"/>
  <c r="K50" i="1"/>
  <c r="K49" i="1"/>
  <c r="K48" i="1"/>
  <c r="K47" i="1"/>
  <c r="K46" i="1"/>
  <c r="K45" i="1"/>
  <c r="K44" i="1"/>
  <c r="M44" i="1" s="1"/>
  <c r="K43" i="1"/>
  <c r="K42" i="1"/>
  <c r="K41" i="1"/>
  <c r="K40" i="1"/>
  <c r="K39" i="1"/>
  <c r="K38" i="1"/>
  <c r="M38" i="1" s="1"/>
  <c r="K37" i="1"/>
  <c r="K36" i="1"/>
  <c r="M36" i="1" s="1"/>
  <c r="K35" i="1"/>
  <c r="K34" i="1"/>
  <c r="K33" i="1"/>
  <c r="K32" i="1"/>
  <c r="K31" i="1"/>
  <c r="K30" i="1"/>
  <c r="K29" i="1"/>
  <c r="K28" i="1"/>
  <c r="M28" i="1" s="1"/>
  <c r="K27" i="1"/>
  <c r="K26" i="1"/>
  <c r="K25" i="1"/>
  <c r="K24" i="1"/>
  <c r="K23" i="1"/>
  <c r="K22" i="1"/>
  <c r="M22" i="1" s="1"/>
  <c r="K21" i="1"/>
  <c r="L20" i="1"/>
  <c r="M20" i="1" s="1"/>
  <c r="K20" i="1"/>
  <c r="N50" i="1" l="1"/>
  <c r="O50" i="1" s="1"/>
  <c r="P50" i="1" s="1"/>
  <c r="N161" i="1"/>
  <c r="O161" i="1" s="1"/>
  <c r="P161" i="1" s="1"/>
  <c r="Q161" i="1" s="1"/>
  <c r="N242" i="1"/>
  <c r="O242" i="1" s="1"/>
  <c r="P242" i="1" s="1"/>
  <c r="Q242" i="1" s="1"/>
  <c r="N113" i="1"/>
  <c r="O113" i="1" s="1"/>
  <c r="P113" i="1" s="1"/>
  <c r="Q113" i="1" s="1"/>
  <c r="N206" i="1"/>
  <c r="O206" i="1" s="1"/>
  <c r="N233" i="1"/>
  <c r="O233" i="1" s="1"/>
  <c r="P233" i="1" s="1"/>
  <c r="N37" i="1"/>
  <c r="O37" i="1" s="1"/>
  <c r="P37" i="1" s="1"/>
  <c r="N109" i="1"/>
  <c r="O109" i="1" s="1"/>
  <c r="P109" i="1" s="1"/>
  <c r="N133" i="1"/>
  <c r="O133" i="1" s="1"/>
  <c r="P133" i="1" s="1"/>
  <c r="N181" i="1"/>
  <c r="O181" i="1" s="1"/>
  <c r="P181" i="1" s="1"/>
  <c r="N189" i="1"/>
  <c r="O189" i="1" s="1"/>
  <c r="P189" i="1" s="1"/>
  <c r="Q189" i="1" s="1"/>
  <c r="M25" i="1"/>
  <c r="M33" i="1"/>
  <c r="M41" i="1"/>
  <c r="M49" i="1"/>
  <c r="M57" i="1"/>
  <c r="M65" i="1"/>
  <c r="N65" i="1" s="1"/>
  <c r="O65" i="1" s="1"/>
  <c r="P65" i="1" s="1"/>
  <c r="Q65" i="1" s="1"/>
  <c r="M73" i="1"/>
  <c r="M81" i="1"/>
  <c r="M89" i="1"/>
  <c r="M97" i="1"/>
  <c r="M105" i="1"/>
  <c r="M113" i="1"/>
  <c r="M121" i="1"/>
  <c r="M129" i="1"/>
  <c r="M137" i="1"/>
  <c r="N137" i="1" s="1"/>
  <c r="O137" i="1" s="1"/>
  <c r="P137" i="1" s="1"/>
  <c r="Q137" i="1" s="1"/>
  <c r="M145" i="1"/>
  <c r="N145" i="1" s="1"/>
  <c r="O145" i="1" s="1"/>
  <c r="P145" i="1" s="1"/>
  <c r="Q145" i="1" s="1"/>
  <c r="M177" i="1"/>
  <c r="M185" i="1"/>
  <c r="M193" i="1"/>
  <c r="M201" i="1"/>
  <c r="N201" i="1" s="1"/>
  <c r="O201" i="1" s="1"/>
  <c r="P201" i="1" s="1"/>
  <c r="Q201" i="1" s="1"/>
  <c r="M209" i="1"/>
  <c r="M241" i="1"/>
  <c r="M249" i="1"/>
  <c r="N249" i="1" s="1"/>
  <c r="O249" i="1" s="1"/>
  <c r="P249" i="1" s="1"/>
  <c r="Q249" i="1" s="1"/>
  <c r="N41" i="1"/>
  <c r="O41" i="1" s="1"/>
  <c r="P41" i="1" s="1"/>
  <c r="Q41" i="1" s="1"/>
  <c r="N69" i="1"/>
  <c r="O69" i="1" s="1"/>
  <c r="P69" i="1" s="1"/>
  <c r="N86" i="1"/>
  <c r="O86" i="1" s="1"/>
  <c r="P86" i="1" s="1"/>
  <c r="N53" i="1"/>
  <c r="O53" i="1" s="1"/>
  <c r="P53" i="1" s="1"/>
  <c r="Q53" i="1" s="1"/>
  <c r="N101" i="1"/>
  <c r="O101" i="1" s="1"/>
  <c r="P101" i="1" s="1"/>
  <c r="Q101" i="1" s="1"/>
  <c r="N125" i="1"/>
  <c r="O125" i="1" s="1"/>
  <c r="P125" i="1" s="1"/>
  <c r="Q125" i="1" s="1"/>
  <c r="N173" i="1"/>
  <c r="O173" i="1" s="1"/>
  <c r="P173" i="1" s="1"/>
  <c r="Q173" i="1" s="1"/>
  <c r="N221" i="1"/>
  <c r="O221" i="1" s="1"/>
  <c r="P221" i="1" s="1"/>
  <c r="N245" i="1"/>
  <c r="O245" i="1" s="1"/>
  <c r="P245" i="1" s="1"/>
  <c r="N89" i="1"/>
  <c r="O89" i="1" s="1"/>
  <c r="P89" i="1" s="1"/>
  <c r="N185" i="1"/>
  <c r="O185" i="1" s="1"/>
  <c r="P185" i="1" s="1"/>
  <c r="Q185" i="1" s="1"/>
  <c r="N209" i="1"/>
  <c r="O209" i="1" s="1"/>
  <c r="P209" i="1" s="1"/>
  <c r="N31" i="1"/>
  <c r="O31" i="1" s="1"/>
  <c r="P31" i="1" s="1"/>
  <c r="Q31" i="1" s="1"/>
  <c r="N127" i="1"/>
  <c r="O127" i="1" s="1"/>
  <c r="P127" i="1" s="1"/>
  <c r="Q127" i="1" s="1"/>
  <c r="N223" i="1"/>
  <c r="O223" i="1" s="1"/>
  <c r="P223" i="1" s="1"/>
  <c r="Q223" i="1" s="1"/>
  <c r="N231" i="1"/>
  <c r="O231" i="1" s="1"/>
  <c r="P231" i="1" s="1"/>
  <c r="Q231" i="1" s="1"/>
  <c r="N162" i="1"/>
  <c r="O162" i="1" s="1"/>
  <c r="P162" i="1" s="1"/>
  <c r="N74" i="1"/>
  <c r="O74" i="1" s="1"/>
  <c r="P74" i="1" s="1"/>
  <c r="N82" i="1"/>
  <c r="O82" i="1" s="1"/>
  <c r="P82" i="1" s="1"/>
  <c r="N98" i="1"/>
  <c r="O98" i="1" s="1"/>
  <c r="P98" i="1" s="1"/>
  <c r="N146" i="1"/>
  <c r="O146" i="1" s="1"/>
  <c r="P146" i="1" s="1"/>
  <c r="Q146" i="1" s="1"/>
  <c r="N194" i="1"/>
  <c r="O194" i="1" s="1"/>
  <c r="N218" i="1"/>
  <c r="O218" i="1" s="1"/>
  <c r="N128" i="1"/>
  <c r="O128" i="1" s="1"/>
  <c r="P128" i="1" s="1"/>
  <c r="Q128" i="1" s="1"/>
  <c r="M156" i="1"/>
  <c r="N156" i="1" s="1"/>
  <c r="O156" i="1" s="1"/>
  <c r="P156" i="1" s="1"/>
  <c r="Q156" i="1" s="1"/>
  <c r="M172" i="1"/>
  <c r="M220" i="1"/>
  <c r="M236" i="1"/>
  <c r="N25" i="1"/>
  <c r="O25" i="1" s="1"/>
  <c r="P25" i="1" s="1"/>
  <c r="N33" i="1"/>
  <c r="O33" i="1" s="1"/>
  <c r="P33" i="1" s="1"/>
  <c r="N49" i="1"/>
  <c r="O49" i="1" s="1"/>
  <c r="P49" i="1" s="1"/>
  <c r="N57" i="1"/>
  <c r="O57" i="1" s="1"/>
  <c r="P57" i="1" s="1"/>
  <c r="N73" i="1"/>
  <c r="O73" i="1" s="1"/>
  <c r="P73" i="1" s="1"/>
  <c r="Q73" i="1" s="1"/>
  <c r="N81" i="1"/>
  <c r="O81" i="1" s="1"/>
  <c r="P81" i="1" s="1"/>
  <c r="Q81" i="1" s="1"/>
  <c r="N97" i="1"/>
  <c r="O97" i="1" s="1"/>
  <c r="P97" i="1" s="1"/>
  <c r="N105" i="1"/>
  <c r="O105" i="1" s="1"/>
  <c r="P105" i="1" s="1"/>
  <c r="N121" i="1"/>
  <c r="O121" i="1" s="1"/>
  <c r="P121" i="1" s="1"/>
  <c r="N129" i="1"/>
  <c r="O129" i="1" s="1"/>
  <c r="P129" i="1" s="1"/>
  <c r="N153" i="1"/>
  <c r="O153" i="1" s="1"/>
  <c r="P153" i="1" s="1"/>
  <c r="N169" i="1"/>
  <c r="O169" i="1" s="1"/>
  <c r="P169" i="1" s="1"/>
  <c r="Q169" i="1" s="1"/>
  <c r="N193" i="1"/>
  <c r="O193" i="1" s="1"/>
  <c r="P193" i="1" s="1"/>
  <c r="Q193" i="1" s="1"/>
  <c r="N217" i="1"/>
  <c r="O217" i="1" s="1"/>
  <c r="P217" i="1" s="1"/>
  <c r="N241" i="1"/>
  <c r="O241" i="1" s="1"/>
  <c r="P241" i="1" s="1"/>
  <c r="N229" i="1"/>
  <c r="O229" i="1" s="1"/>
  <c r="P229" i="1" s="1"/>
  <c r="N77" i="1"/>
  <c r="O77" i="1" s="1"/>
  <c r="P77" i="1" s="1"/>
  <c r="Q77" i="1" s="1"/>
  <c r="N197" i="1"/>
  <c r="O197" i="1" s="1"/>
  <c r="P197" i="1" s="1"/>
  <c r="Q197" i="1" s="1"/>
  <c r="N34" i="1"/>
  <c r="O34" i="1" s="1"/>
  <c r="P34" i="1" s="1"/>
  <c r="Q34" i="1" s="1"/>
  <c r="N58" i="1"/>
  <c r="O58" i="1" s="1"/>
  <c r="P58" i="1" s="1"/>
  <c r="N92" i="1"/>
  <c r="O92" i="1" s="1"/>
  <c r="P92" i="1" s="1"/>
  <c r="N141" i="1"/>
  <c r="O141" i="1" s="1"/>
  <c r="P141" i="1" s="1"/>
  <c r="N235" i="1"/>
  <c r="O235" i="1" s="1"/>
  <c r="P235" i="1" s="1"/>
  <c r="M174" i="1"/>
  <c r="M190" i="1"/>
  <c r="M238" i="1"/>
  <c r="M254" i="1"/>
  <c r="N27" i="1"/>
  <c r="O27" i="1" s="1"/>
  <c r="P27" i="1" s="1"/>
  <c r="N67" i="1"/>
  <c r="O67" i="1" s="1"/>
  <c r="P67" i="1" s="1"/>
  <c r="N91" i="1"/>
  <c r="O91" i="1" s="1"/>
  <c r="P91" i="1" s="1"/>
  <c r="N123" i="1"/>
  <c r="O123" i="1" s="1"/>
  <c r="P123" i="1" s="1"/>
  <c r="N139" i="1"/>
  <c r="O139" i="1" s="1"/>
  <c r="P139" i="1" s="1"/>
  <c r="N171" i="1"/>
  <c r="O171" i="1" s="1"/>
  <c r="P171" i="1" s="1"/>
  <c r="N219" i="1"/>
  <c r="O219" i="1" s="1"/>
  <c r="P219" i="1" s="1"/>
  <c r="Q219" i="1" s="1"/>
  <c r="N45" i="1"/>
  <c r="O45" i="1" s="1"/>
  <c r="P45" i="1" s="1"/>
  <c r="N142" i="1"/>
  <c r="O142" i="1" s="1"/>
  <c r="P142" i="1" s="1"/>
  <c r="N210" i="1"/>
  <c r="O210" i="1" s="1"/>
  <c r="P210" i="1" s="1"/>
  <c r="N237" i="1"/>
  <c r="O237" i="1" s="1"/>
  <c r="P237" i="1" s="1"/>
  <c r="M23" i="1"/>
  <c r="M31" i="1"/>
  <c r="M39" i="1"/>
  <c r="N39" i="1" s="1"/>
  <c r="O39" i="1" s="1"/>
  <c r="P39" i="1" s="1"/>
  <c r="Q39" i="1" s="1"/>
  <c r="M47" i="1"/>
  <c r="M55" i="1"/>
  <c r="N55" i="1" s="1"/>
  <c r="O55" i="1" s="1"/>
  <c r="P55" i="1" s="1"/>
  <c r="Q55" i="1" s="1"/>
  <c r="M63" i="1"/>
  <c r="N63" i="1" s="1"/>
  <c r="O63" i="1" s="1"/>
  <c r="P63" i="1" s="1"/>
  <c r="Q63" i="1" s="1"/>
  <c r="M71" i="1"/>
  <c r="M79" i="1"/>
  <c r="N79" i="1" s="1"/>
  <c r="O79" i="1" s="1"/>
  <c r="P79" i="1" s="1"/>
  <c r="Q79" i="1" s="1"/>
  <c r="M87" i="1"/>
  <c r="N87" i="1" s="1"/>
  <c r="O87" i="1" s="1"/>
  <c r="P87" i="1" s="1"/>
  <c r="Q87" i="1" s="1"/>
  <c r="M95" i="1"/>
  <c r="M103" i="1"/>
  <c r="N103" i="1" s="1"/>
  <c r="O103" i="1" s="1"/>
  <c r="P103" i="1" s="1"/>
  <c r="Q103" i="1" s="1"/>
  <c r="M111" i="1"/>
  <c r="N111" i="1" s="1"/>
  <c r="O111" i="1" s="1"/>
  <c r="P111" i="1" s="1"/>
  <c r="Q111" i="1" s="1"/>
  <c r="M119" i="1"/>
  <c r="M127" i="1"/>
  <c r="M135" i="1"/>
  <c r="N135" i="1" s="1"/>
  <c r="O135" i="1" s="1"/>
  <c r="P135" i="1" s="1"/>
  <c r="Q135" i="1" s="1"/>
  <c r="M143" i="1"/>
  <c r="M151" i="1"/>
  <c r="N151" i="1" s="1"/>
  <c r="O151" i="1" s="1"/>
  <c r="P151" i="1" s="1"/>
  <c r="Q151" i="1" s="1"/>
  <c r="M159" i="1"/>
  <c r="N159" i="1" s="1"/>
  <c r="O159" i="1" s="1"/>
  <c r="P159" i="1" s="1"/>
  <c r="Q159" i="1" s="1"/>
  <c r="M167" i="1"/>
  <c r="M175" i="1"/>
  <c r="N175" i="1" s="1"/>
  <c r="O175" i="1" s="1"/>
  <c r="P175" i="1" s="1"/>
  <c r="Q175" i="1" s="1"/>
  <c r="M183" i="1"/>
  <c r="N183" i="1" s="1"/>
  <c r="O183" i="1" s="1"/>
  <c r="P183" i="1" s="1"/>
  <c r="Q183" i="1" s="1"/>
  <c r="M191" i="1"/>
  <c r="M199" i="1"/>
  <c r="M207" i="1"/>
  <c r="N207" i="1" s="1"/>
  <c r="O207" i="1" s="1"/>
  <c r="P207" i="1" s="1"/>
  <c r="Q207" i="1" s="1"/>
  <c r="M215" i="1"/>
  <c r="M223" i="1"/>
  <c r="M231" i="1"/>
  <c r="M239" i="1"/>
  <c r="M247" i="1"/>
  <c r="N247" i="1" s="1"/>
  <c r="O247" i="1" s="1"/>
  <c r="P247" i="1" s="1"/>
  <c r="Q247" i="1" s="1"/>
  <c r="M255" i="1"/>
  <c r="N255" i="1" s="1"/>
  <c r="O255" i="1" s="1"/>
  <c r="P255" i="1" s="1"/>
  <c r="Q255" i="1" s="1"/>
  <c r="G38" i="1"/>
  <c r="N38" i="1" s="1"/>
  <c r="O38" i="1" s="1"/>
  <c r="P38" i="1" s="1"/>
  <c r="G46" i="1"/>
  <c r="G54" i="1"/>
  <c r="G62" i="1"/>
  <c r="N62" i="1" s="1"/>
  <c r="O62" i="1" s="1"/>
  <c r="P62" i="1" s="1"/>
  <c r="G70" i="1"/>
  <c r="N70" i="1" s="1"/>
  <c r="O70" i="1" s="1"/>
  <c r="P70" i="1" s="1"/>
  <c r="Q70" i="1" s="1"/>
  <c r="G102" i="1"/>
  <c r="G110" i="1"/>
  <c r="N110" i="1" s="1"/>
  <c r="O110" i="1" s="1"/>
  <c r="P110" i="1" s="1"/>
  <c r="Q110" i="1" s="1"/>
  <c r="G118" i="1"/>
  <c r="G126" i="1"/>
  <c r="G134" i="1"/>
  <c r="N134" i="1" s="1"/>
  <c r="O134" i="1" s="1"/>
  <c r="P134" i="1" s="1"/>
  <c r="G166" i="1"/>
  <c r="G174" i="1"/>
  <c r="G182" i="1"/>
  <c r="N182" i="1" s="1"/>
  <c r="O182" i="1" s="1"/>
  <c r="P182" i="1" s="1"/>
  <c r="G190" i="1"/>
  <c r="N190" i="1" s="1"/>
  <c r="O190" i="1" s="1"/>
  <c r="P190" i="1" s="1"/>
  <c r="Q190" i="1" s="1"/>
  <c r="G198" i="1"/>
  <c r="N198" i="1" s="1"/>
  <c r="O198" i="1" s="1"/>
  <c r="P198" i="1" s="1"/>
  <c r="Q198" i="1" s="1"/>
  <c r="G230" i="1"/>
  <c r="N230" i="1" s="1"/>
  <c r="O230" i="1" s="1"/>
  <c r="G238" i="1"/>
  <c r="N238" i="1" s="1"/>
  <c r="O238" i="1" s="1"/>
  <c r="P238" i="1" s="1"/>
  <c r="Q238" i="1" s="1"/>
  <c r="G246" i="1"/>
  <c r="G254" i="1"/>
  <c r="N187" i="1"/>
  <c r="O187" i="1" s="1"/>
  <c r="P187" i="1" s="1"/>
  <c r="N106" i="1"/>
  <c r="O106" i="1" s="1"/>
  <c r="P106" i="1" s="1"/>
  <c r="N130" i="1"/>
  <c r="O130" i="1" s="1"/>
  <c r="P130" i="1" s="1"/>
  <c r="Q130" i="1" s="1"/>
  <c r="N138" i="1"/>
  <c r="O138" i="1" s="1"/>
  <c r="P138" i="1" s="1"/>
  <c r="Q138" i="1" s="1"/>
  <c r="N154" i="1"/>
  <c r="O154" i="1" s="1"/>
  <c r="P154" i="1" s="1"/>
  <c r="N178" i="1"/>
  <c r="O178" i="1" s="1"/>
  <c r="P178" i="1" s="1"/>
  <c r="N186" i="1"/>
  <c r="O186" i="1" s="1"/>
  <c r="P186" i="1" s="1"/>
  <c r="N202" i="1"/>
  <c r="O202" i="1" s="1"/>
  <c r="P202" i="1" s="1"/>
  <c r="N226" i="1"/>
  <c r="O226" i="1" s="1"/>
  <c r="P226" i="1" s="1"/>
  <c r="N234" i="1"/>
  <c r="O234" i="1" s="1"/>
  <c r="P234" i="1" s="1"/>
  <c r="N250" i="1"/>
  <c r="O250" i="1" s="1"/>
  <c r="P250" i="1" s="1"/>
  <c r="Q250" i="1" s="1"/>
  <c r="N216" i="1"/>
  <c r="O216" i="1" s="1"/>
  <c r="P216" i="1" s="1"/>
  <c r="Q216" i="1" s="1"/>
  <c r="N43" i="1"/>
  <c r="O43" i="1" s="1"/>
  <c r="P43" i="1" s="1"/>
  <c r="N51" i="1"/>
  <c r="O51" i="1" s="1"/>
  <c r="P51" i="1" s="1"/>
  <c r="N75" i="1"/>
  <c r="O75" i="1" s="1"/>
  <c r="P75" i="1" s="1"/>
  <c r="N99" i="1"/>
  <c r="O99" i="1" s="1"/>
  <c r="P99" i="1" s="1"/>
  <c r="N115" i="1"/>
  <c r="O115" i="1" s="1"/>
  <c r="P115" i="1" s="1"/>
  <c r="N147" i="1"/>
  <c r="O147" i="1" s="1"/>
  <c r="P147" i="1" s="1"/>
  <c r="N163" i="1"/>
  <c r="O163" i="1" s="1"/>
  <c r="P163" i="1" s="1"/>
  <c r="N195" i="1"/>
  <c r="O195" i="1" s="1"/>
  <c r="P195" i="1" s="1"/>
  <c r="Q195" i="1" s="1"/>
  <c r="N211" i="1"/>
  <c r="O211" i="1" s="1"/>
  <c r="P211" i="1" s="1"/>
  <c r="N243" i="1"/>
  <c r="O243" i="1" s="1"/>
  <c r="P243" i="1" s="1"/>
  <c r="N199" i="1"/>
  <c r="O199" i="1" s="1"/>
  <c r="P199" i="1" s="1"/>
  <c r="N36" i="1"/>
  <c r="O36" i="1" s="1"/>
  <c r="P36" i="1" s="1"/>
  <c r="N68" i="1"/>
  <c r="O68" i="1" s="1"/>
  <c r="P68" i="1" s="1"/>
  <c r="N140" i="1"/>
  <c r="O140" i="1" s="1"/>
  <c r="P140" i="1" s="1"/>
  <c r="N188" i="1"/>
  <c r="O188" i="1" s="1"/>
  <c r="P188" i="1" s="1"/>
  <c r="N236" i="1"/>
  <c r="O236" i="1" s="1"/>
  <c r="P236" i="1" s="1"/>
  <c r="Q236" i="1" s="1"/>
  <c r="N132" i="1"/>
  <c r="O132" i="1" s="1"/>
  <c r="P132" i="1" s="1"/>
  <c r="N177" i="1"/>
  <c r="O177" i="1" s="1"/>
  <c r="P177" i="1" s="1"/>
  <c r="G24" i="1"/>
  <c r="N24" i="1" s="1"/>
  <c r="O24" i="1" s="1"/>
  <c r="P24" i="1" s="1"/>
  <c r="Q24" i="1" s="1"/>
  <c r="G32" i="1"/>
  <c r="N32" i="1" s="1"/>
  <c r="O32" i="1" s="1"/>
  <c r="P32" i="1" s="1"/>
  <c r="Q32" i="1" s="1"/>
  <c r="G40" i="1"/>
  <c r="G48" i="1"/>
  <c r="N48" i="1" s="1"/>
  <c r="O48" i="1" s="1"/>
  <c r="P48" i="1" s="1"/>
  <c r="Q48" i="1" s="1"/>
  <c r="G56" i="1"/>
  <c r="N56" i="1" s="1"/>
  <c r="O56" i="1" s="1"/>
  <c r="P56" i="1" s="1"/>
  <c r="Q56" i="1" s="1"/>
  <c r="G64" i="1"/>
  <c r="G72" i="1"/>
  <c r="N72" i="1" s="1"/>
  <c r="O72" i="1" s="1"/>
  <c r="P72" i="1" s="1"/>
  <c r="Q72" i="1" s="1"/>
  <c r="G80" i="1"/>
  <c r="N80" i="1" s="1"/>
  <c r="O80" i="1" s="1"/>
  <c r="P80" i="1" s="1"/>
  <c r="Q80" i="1" s="1"/>
  <c r="G88" i="1"/>
  <c r="G96" i="1"/>
  <c r="N96" i="1" s="1"/>
  <c r="O96" i="1" s="1"/>
  <c r="P96" i="1" s="1"/>
  <c r="Q96" i="1" s="1"/>
  <c r="G104" i="1"/>
  <c r="N104" i="1" s="1"/>
  <c r="O104" i="1" s="1"/>
  <c r="P104" i="1" s="1"/>
  <c r="Q104" i="1" s="1"/>
  <c r="G112" i="1"/>
  <c r="G120" i="1"/>
  <c r="N120" i="1" s="1"/>
  <c r="O120" i="1" s="1"/>
  <c r="P120" i="1" s="1"/>
  <c r="Q120" i="1" s="1"/>
  <c r="G128" i="1"/>
  <c r="G136" i="1"/>
  <c r="G144" i="1"/>
  <c r="N144" i="1" s="1"/>
  <c r="O144" i="1" s="1"/>
  <c r="P144" i="1" s="1"/>
  <c r="Q144" i="1" s="1"/>
  <c r="G152" i="1"/>
  <c r="N152" i="1" s="1"/>
  <c r="O152" i="1" s="1"/>
  <c r="P152" i="1" s="1"/>
  <c r="Q152" i="1" s="1"/>
  <c r="G160" i="1"/>
  <c r="G168" i="1"/>
  <c r="N168" i="1" s="1"/>
  <c r="O168" i="1" s="1"/>
  <c r="P168" i="1" s="1"/>
  <c r="Q168" i="1" s="1"/>
  <c r="G176" i="1"/>
  <c r="N176" i="1" s="1"/>
  <c r="O176" i="1" s="1"/>
  <c r="P176" i="1" s="1"/>
  <c r="Q176" i="1" s="1"/>
  <c r="G184" i="1"/>
  <c r="G192" i="1"/>
  <c r="N192" i="1" s="1"/>
  <c r="O192" i="1" s="1"/>
  <c r="P192" i="1" s="1"/>
  <c r="Q192" i="1" s="1"/>
  <c r="G200" i="1"/>
  <c r="N200" i="1" s="1"/>
  <c r="O200" i="1" s="1"/>
  <c r="P200" i="1" s="1"/>
  <c r="Q200" i="1" s="1"/>
  <c r="G208" i="1"/>
  <c r="G216" i="1"/>
  <c r="G224" i="1"/>
  <c r="N224" i="1" s="1"/>
  <c r="O224" i="1" s="1"/>
  <c r="P224" i="1" s="1"/>
  <c r="Q224" i="1" s="1"/>
  <c r="G232" i="1"/>
  <c r="G240" i="1"/>
  <c r="N240" i="1" s="1"/>
  <c r="O240" i="1" s="1"/>
  <c r="P240" i="1" s="1"/>
  <c r="Q240" i="1" s="1"/>
  <c r="G248" i="1"/>
  <c r="G256" i="1"/>
  <c r="N21" i="1"/>
  <c r="O21" i="1" s="1"/>
  <c r="P21" i="1" s="1"/>
  <c r="N61" i="1"/>
  <c r="O61" i="1" s="1"/>
  <c r="P61" i="1" s="1"/>
  <c r="N85" i="1"/>
  <c r="O85" i="1" s="1"/>
  <c r="P85" i="1" s="1"/>
  <c r="N93" i="1"/>
  <c r="O93" i="1" s="1"/>
  <c r="P93" i="1" s="1"/>
  <c r="N117" i="1"/>
  <c r="O117" i="1" s="1"/>
  <c r="P117" i="1" s="1"/>
  <c r="Q117" i="1" s="1"/>
  <c r="N157" i="1"/>
  <c r="O157" i="1" s="1"/>
  <c r="P157" i="1" s="1"/>
  <c r="Q157" i="1" s="1"/>
  <c r="N165" i="1"/>
  <c r="O165" i="1" s="1"/>
  <c r="P165" i="1" s="1"/>
  <c r="N205" i="1"/>
  <c r="O205" i="1" s="1"/>
  <c r="P205" i="1" s="1"/>
  <c r="N213" i="1"/>
  <c r="O213" i="1" s="1"/>
  <c r="P213" i="1" s="1"/>
  <c r="N253" i="1"/>
  <c r="O253" i="1" s="1"/>
  <c r="P253" i="1" s="1"/>
  <c r="N60" i="1"/>
  <c r="O60" i="1" s="1"/>
  <c r="P60" i="1" s="1"/>
  <c r="N180" i="1"/>
  <c r="O180" i="1" s="1"/>
  <c r="P180" i="1" s="1"/>
  <c r="N225" i="1"/>
  <c r="O225" i="1" s="1"/>
  <c r="P225" i="1" s="1"/>
  <c r="N248" i="1"/>
  <c r="O248" i="1" s="1"/>
  <c r="P248" i="1" s="1"/>
  <c r="Q248" i="1" s="1"/>
  <c r="N22" i="1"/>
  <c r="O22" i="1" s="1"/>
  <c r="P22" i="1" s="1"/>
  <c r="N46" i="1"/>
  <c r="O46" i="1" s="1"/>
  <c r="P46" i="1" s="1"/>
  <c r="N94" i="1"/>
  <c r="O94" i="1" s="1"/>
  <c r="P94" i="1" s="1"/>
  <c r="N118" i="1"/>
  <c r="O118" i="1" s="1"/>
  <c r="P118" i="1" s="1"/>
  <c r="N126" i="1"/>
  <c r="O126" i="1" s="1"/>
  <c r="P126" i="1" s="1"/>
  <c r="N150" i="1"/>
  <c r="O150" i="1" s="1"/>
  <c r="P150" i="1" s="1"/>
  <c r="N166" i="1"/>
  <c r="O166" i="1" s="1"/>
  <c r="P166" i="1" s="1"/>
  <c r="Q166" i="1" s="1"/>
  <c r="N174" i="1"/>
  <c r="O174" i="1" s="1"/>
  <c r="P174" i="1" s="1"/>
  <c r="Q174" i="1" s="1"/>
  <c r="N214" i="1"/>
  <c r="O214" i="1" s="1"/>
  <c r="P214" i="1" s="1"/>
  <c r="N222" i="1"/>
  <c r="O222" i="1" s="1"/>
  <c r="P222" i="1" s="1"/>
  <c r="N246" i="1"/>
  <c r="O246" i="1" s="1"/>
  <c r="P246" i="1" s="1"/>
  <c r="N228" i="1"/>
  <c r="O228" i="1" s="1"/>
  <c r="P228" i="1" s="1"/>
  <c r="J28" i="1"/>
  <c r="N28" i="1" s="1"/>
  <c r="O28" i="1" s="1"/>
  <c r="P28" i="1" s="1"/>
  <c r="J52" i="1"/>
  <c r="N52" i="1" s="1"/>
  <c r="O52" i="1" s="1"/>
  <c r="P52" i="1" s="1"/>
  <c r="J76" i="1"/>
  <c r="N76" i="1" s="1"/>
  <c r="O76" i="1" s="1"/>
  <c r="P76" i="1" s="1"/>
  <c r="Q76" i="1" s="1"/>
  <c r="J100" i="1"/>
  <c r="N100" i="1" s="1"/>
  <c r="O100" i="1" s="1"/>
  <c r="P100" i="1" s="1"/>
  <c r="J124" i="1"/>
  <c r="N124" i="1" s="1"/>
  <c r="O124" i="1" s="1"/>
  <c r="P124" i="1" s="1"/>
  <c r="J148" i="1"/>
  <c r="N148" i="1" s="1"/>
  <c r="O148" i="1" s="1"/>
  <c r="P148" i="1" s="1"/>
  <c r="J172" i="1"/>
  <c r="J196" i="1"/>
  <c r="N196" i="1" s="1"/>
  <c r="O196" i="1" s="1"/>
  <c r="P196" i="1" s="1"/>
  <c r="J220" i="1"/>
  <c r="N220" i="1" s="1"/>
  <c r="O220" i="1" s="1"/>
  <c r="P220" i="1" s="1"/>
  <c r="J244" i="1"/>
  <c r="N244" i="1" s="1"/>
  <c r="O244" i="1" s="1"/>
  <c r="P244" i="1" s="1"/>
  <c r="P194" i="1"/>
  <c r="J20" i="1"/>
  <c r="N20" i="1" s="1"/>
  <c r="O20" i="1" s="1"/>
  <c r="P206" i="1"/>
  <c r="J30" i="1"/>
  <c r="N30" i="1" s="1"/>
  <c r="O30" i="1" s="1"/>
  <c r="P30" i="1" s="1"/>
  <c r="J54" i="1"/>
  <c r="N54" i="1" s="1"/>
  <c r="O54" i="1" s="1"/>
  <c r="P54" i="1" s="1"/>
  <c r="J78" i="1"/>
  <c r="N78" i="1" s="1"/>
  <c r="O78" i="1" s="1"/>
  <c r="P78" i="1" s="1"/>
  <c r="J102" i="1"/>
  <c r="P218" i="1"/>
  <c r="Q218" i="1" s="1"/>
  <c r="J47" i="1"/>
  <c r="N47" i="1" s="1"/>
  <c r="O47" i="1" s="1"/>
  <c r="P47" i="1" s="1"/>
  <c r="J71" i="1"/>
  <c r="N71" i="1" s="1"/>
  <c r="O71" i="1" s="1"/>
  <c r="P71" i="1" s="1"/>
  <c r="J95" i="1"/>
  <c r="N95" i="1" s="1"/>
  <c r="O95" i="1" s="1"/>
  <c r="P95" i="1" s="1"/>
  <c r="J119" i="1"/>
  <c r="J143" i="1"/>
  <c r="N143" i="1" s="1"/>
  <c r="O143" i="1" s="1"/>
  <c r="P143" i="1" s="1"/>
  <c r="J167" i="1"/>
  <c r="N167" i="1" s="1"/>
  <c r="O167" i="1" s="1"/>
  <c r="P167" i="1" s="1"/>
  <c r="J191" i="1"/>
  <c r="N191" i="1" s="1"/>
  <c r="O191" i="1" s="1"/>
  <c r="P191" i="1" s="1"/>
  <c r="J215" i="1"/>
  <c r="N215" i="1" s="1"/>
  <c r="O215" i="1" s="1"/>
  <c r="P215" i="1" s="1"/>
  <c r="Q215" i="1" s="1"/>
  <c r="J239" i="1"/>
  <c r="N239" i="1" s="1"/>
  <c r="O239" i="1" s="1"/>
  <c r="P239" i="1" s="1"/>
  <c r="N84" i="1"/>
  <c r="O84" i="1" s="1"/>
  <c r="P84" i="1" s="1"/>
  <c r="N116" i="1"/>
  <c r="O116" i="1" s="1"/>
  <c r="P116" i="1" s="1"/>
  <c r="N164" i="1"/>
  <c r="O164" i="1" s="1"/>
  <c r="P164" i="1" s="1"/>
  <c r="N212" i="1"/>
  <c r="O212" i="1" s="1"/>
  <c r="P212" i="1" s="1"/>
  <c r="P230" i="1"/>
  <c r="J23" i="1"/>
  <c r="N23" i="1" s="1"/>
  <c r="O23" i="1" s="1"/>
  <c r="P23" i="1" s="1"/>
  <c r="J40" i="1"/>
  <c r="N40" i="1" s="1"/>
  <c r="O40" i="1" s="1"/>
  <c r="P40" i="1" s="1"/>
  <c r="Q40" i="1" s="1"/>
  <c r="J64" i="1"/>
  <c r="N64" i="1" s="1"/>
  <c r="O64" i="1" s="1"/>
  <c r="P64" i="1" s="1"/>
  <c r="J88" i="1"/>
  <c r="N88" i="1" s="1"/>
  <c r="O88" i="1" s="1"/>
  <c r="P88" i="1" s="1"/>
  <c r="J112" i="1"/>
  <c r="J136" i="1"/>
  <c r="N136" i="1" s="1"/>
  <c r="O136" i="1" s="1"/>
  <c r="P136" i="1" s="1"/>
  <c r="J160" i="1"/>
  <c r="N160" i="1" s="1"/>
  <c r="O160" i="1" s="1"/>
  <c r="P160" i="1" s="1"/>
  <c r="J184" i="1"/>
  <c r="N184" i="1" s="1"/>
  <c r="O184" i="1" s="1"/>
  <c r="P184" i="1" s="1"/>
  <c r="Q184" i="1" s="1"/>
  <c r="J208" i="1"/>
  <c r="N208" i="1" s="1"/>
  <c r="O208" i="1" s="1"/>
  <c r="P208" i="1" s="1"/>
  <c r="Q208" i="1" s="1"/>
  <c r="J232" i="1"/>
  <c r="N232" i="1" s="1"/>
  <c r="O232" i="1" s="1"/>
  <c r="P232" i="1" s="1"/>
  <c r="Q232" i="1" s="1"/>
  <c r="J256" i="1"/>
  <c r="N256" i="1" s="1"/>
  <c r="O256" i="1" s="1"/>
  <c r="P256" i="1" s="1"/>
  <c r="N204" i="1"/>
  <c r="O204" i="1" s="1"/>
  <c r="P204" i="1" s="1"/>
  <c r="N252" i="1"/>
  <c r="O252" i="1" s="1"/>
  <c r="P252" i="1" s="1"/>
  <c r="N44" i="1"/>
  <c r="O44" i="1" s="1"/>
  <c r="P44" i="1" s="1"/>
  <c r="N108" i="1"/>
  <c r="O108" i="1" s="1"/>
  <c r="P108" i="1" s="1"/>
  <c r="Q108" i="1" s="1"/>
  <c r="J42" i="1"/>
  <c r="N42" i="1" s="1"/>
  <c r="O42" i="1" s="1"/>
  <c r="P42" i="1" s="1"/>
  <c r="Q42" i="1" s="1"/>
  <c r="J66" i="1"/>
  <c r="N66" i="1" s="1"/>
  <c r="O66" i="1" s="1"/>
  <c r="P66" i="1" s="1"/>
  <c r="Q66" i="1" s="1"/>
  <c r="J90" i="1"/>
  <c r="N90" i="1" s="1"/>
  <c r="O90" i="1" s="1"/>
  <c r="P90" i="1" s="1"/>
  <c r="J114" i="1"/>
  <c r="N114" i="1" s="1"/>
  <c r="O114" i="1" s="1"/>
  <c r="P114" i="1" s="1"/>
  <c r="J35" i="1"/>
  <c r="N35" i="1" s="1"/>
  <c r="O35" i="1" s="1"/>
  <c r="P35" i="1" s="1"/>
  <c r="J59" i="1"/>
  <c r="N59" i="1" s="1"/>
  <c r="O59" i="1" s="1"/>
  <c r="P59" i="1" s="1"/>
  <c r="J83" i="1"/>
  <c r="N83" i="1" s="1"/>
  <c r="O83" i="1" s="1"/>
  <c r="P83" i="1" s="1"/>
  <c r="J107" i="1"/>
  <c r="N107" i="1" s="1"/>
  <c r="O107" i="1" s="1"/>
  <c r="P107" i="1" s="1"/>
  <c r="J131" i="1"/>
  <c r="N131" i="1" s="1"/>
  <c r="O131" i="1" s="1"/>
  <c r="P131" i="1" s="1"/>
  <c r="J155" i="1"/>
  <c r="N155" i="1" s="1"/>
  <c r="O155" i="1" s="1"/>
  <c r="P155" i="1" s="1"/>
  <c r="Q155" i="1" s="1"/>
  <c r="J179" i="1"/>
  <c r="N179" i="1" s="1"/>
  <c r="O179" i="1" s="1"/>
  <c r="P179" i="1" s="1"/>
  <c r="J203" i="1"/>
  <c r="N203" i="1" s="1"/>
  <c r="O203" i="1" s="1"/>
  <c r="P203" i="1" s="1"/>
  <c r="J227" i="1"/>
  <c r="N227" i="1" s="1"/>
  <c r="O227" i="1" s="1"/>
  <c r="P227" i="1" s="1"/>
  <c r="J251" i="1"/>
  <c r="N251" i="1" s="1"/>
  <c r="O251" i="1" s="1"/>
  <c r="P251" i="1" s="1"/>
  <c r="Q246" i="1"/>
  <c r="P20" i="1"/>
  <c r="Q20" i="1" s="1"/>
  <c r="Q29" i="1"/>
  <c r="Q209" i="1"/>
  <c r="Q149" i="1"/>
  <c r="Q89" i="1"/>
  <c r="Q28" i="1"/>
  <c r="Q52" i="1"/>
  <c r="Q64" i="1"/>
  <c r="Q88" i="1"/>
  <c r="Q100" i="1"/>
  <c r="Q124" i="1"/>
  <c r="Q136" i="1"/>
  <c r="Q148" i="1"/>
  <c r="Q160" i="1"/>
  <c r="Q196" i="1"/>
  <c r="Q220" i="1"/>
  <c r="Q244" i="1"/>
  <c r="Q256" i="1"/>
  <c r="Q221" i="1"/>
  <c r="Q233" i="1"/>
  <c r="Q245" i="1"/>
  <c r="Q27" i="1"/>
  <c r="Q51" i="1"/>
  <c r="Q75" i="1"/>
  <c r="Q99" i="1"/>
  <c r="Q123" i="1"/>
  <c r="Q147" i="1"/>
  <c r="Q171" i="1"/>
  <c r="Q243" i="1"/>
  <c r="Q26" i="1"/>
  <c r="Q38" i="1"/>
  <c r="Q50" i="1"/>
  <c r="Q62" i="1"/>
  <c r="Q74" i="1"/>
  <c r="Q86" i="1"/>
  <c r="Q98" i="1"/>
  <c r="Q122" i="1"/>
  <c r="Q134" i="1"/>
  <c r="Q158" i="1"/>
  <c r="Q170" i="1"/>
  <c r="Q182" i="1"/>
  <c r="Q194" i="1"/>
  <c r="Q206" i="1"/>
  <c r="Q230" i="1"/>
  <c r="Q25" i="1"/>
  <c r="Q37" i="1"/>
  <c r="Q49" i="1"/>
  <c r="Q61" i="1"/>
  <c r="Q85" i="1"/>
  <c r="Q97" i="1"/>
  <c r="Q109" i="1"/>
  <c r="Q121" i="1"/>
  <c r="Q133" i="1"/>
  <c r="Q181" i="1"/>
  <c r="Q205" i="1"/>
  <c r="Q217" i="1"/>
  <c r="Q229" i="1"/>
  <c r="Q241" i="1"/>
  <c r="Q253" i="1"/>
  <c r="Q36" i="1"/>
  <c r="Q60" i="1"/>
  <c r="Q84" i="1"/>
  <c r="Q132" i="1"/>
  <c r="Q180" i="1"/>
  <c r="Q204" i="1"/>
  <c r="Q228" i="1"/>
  <c r="Q252" i="1"/>
  <c r="Q23" i="1"/>
  <c r="Q35" i="1"/>
  <c r="Q47" i="1"/>
  <c r="Q59" i="1"/>
  <c r="Q71" i="1"/>
  <c r="Q83" i="1"/>
  <c r="Q95" i="1"/>
  <c r="Q107" i="1"/>
  <c r="Q131" i="1"/>
  <c r="Q143" i="1"/>
  <c r="Q167" i="1"/>
  <c r="Q179" i="1"/>
  <c r="Q191" i="1"/>
  <c r="Q203" i="1"/>
  <c r="Q227" i="1"/>
  <c r="Q239" i="1"/>
  <c r="Q251" i="1"/>
  <c r="Q22" i="1"/>
  <c r="Q46" i="1"/>
  <c r="Q58" i="1"/>
  <c r="Q82" i="1"/>
  <c r="Q94" i="1"/>
  <c r="Q106" i="1"/>
  <c r="Q118" i="1"/>
  <c r="Q142" i="1"/>
  <c r="Q154" i="1"/>
  <c r="Q178" i="1"/>
  <c r="Q202" i="1"/>
  <c r="Q214" i="1"/>
  <c r="Q226" i="1"/>
  <c r="Q21" i="1"/>
  <c r="Q33" i="1"/>
  <c r="Q45" i="1"/>
  <c r="Q57" i="1"/>
  <c r="Q69" i="1"/>
  <c r="Q93" i="1"/>
  <c r="Q105" i="1"/>
  <c r="Q129" i="1"/>
  <c r="Q141" i="1"/>
  <c r="Q153" i="1"/>
  <c r="Q165" i="1"/>
  <c r="Q177" i="1"/>
  <c r="Q213" i="1"/>
  <c r="Q225" i="1"/>
  <c r="Q237" i="1"/>
  <c r="Q44" i="1"/>
  <c r="Q68" i="1"/>
  <c r="Q92" i="1"/>
  <c r="Q116" i="1"/>
  <c r="Q140" i="1"/>
  <c r="Q164" i="1"/>
  <c r="Q188" i="1"/>
  <c r="Q212" i="1"/>
  <c r="Q43" i="1"/>
  <c r="Q67" i="1"/>
  <c r="Q91" i="1"/>
  <c r="Q115" i="1"/>
  <c r="Q139" i="1"/>
  <c r="Q163" i="1"/>
  <c r="Q187" i="1"/>
  <c r="Q199" i="1"/>
  <c r="Q211" i="1"/>
  <c r="Q235" i="1"/>
  <c r="Q30" i="1"/>
  <c r="Q54" i="1"/>
  <c r="Q78" i="1"/>
  <c r="Q90" i="1"/>
  <c r="Q114" i="1"/>
  <c r="Q126" i="1"/>
  <c r="Q150" i="1"/>
  <c r="Q162" i="1"/>
  <c r="Q186" i="1"/>
  <c r="Q210" i="1"/>
  <c r="Q222" i="1"/>
  <c r="Q234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R19" i="1" s="1"/>
  <c r="R20" i="1" s="1"/>
  <c r="R21" i="1" s="1"/>
  <c r="R22" i="1" s="1"/>
  <c r="R23" i="1" s="1"/>
  <c r="D18" i="1"/>
  <c r="D17" i="1"/>
  <c r="D16" i="1"/>
  <c r="D15" i="1"/>
  <c r="D14" i="1"/>
  <c r="D13" i="1"/>
  <c r="D35" i="1"/>
  <c r="D34" i="1"/>
  <c r="D33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12" i="1"/>
  <c r="D11" i="1"/>
  <c r="D10" i="1"/>
  <c r="D9" i="1"/>
  <c r="D8" i="1"/>
  <c r="D7" i="1"/>
  <c r="D6" i="1"/>
  <c r="D5" i="1"/>
  <c r="N102" i="1" l="1"/>
  <c r="O102" i="1" s="1"/>
  <c r="P102" i="1" s="1"/>
  <c r="Q102" i="1" s="1"/>
  <c r="N172" i="1"/>
  <c r="O172" i="1" s="1"/>
  <c r="P172" i="1" s="1"/>
  <c r="Q172" i="1" s="1"/>
  <c r="N254" i="1"/>
  <c r="O254" i="1" s="1"/>
  <c r="P254" i="1" s="1"/>
  <c r="Q254" i="1" s="1"/>
  <c r="R24" i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R253" i="1" s="1"/>
  <c r="R254" i="1" s="1"/>
  <c r="R255" i="1" s="1"/>
  <c r="R256" i="1" s="1"/>
  <c r="N119" i="1"/>
  <c r="O119" i="1" s="1"/>
  <c r="P119" i="1" s="1"/>
  <c r="Q119" i="1" s="1"/>
  <c r="N112" i="1"/>
  <c r="O112" i="1" s="1"/>
  <c r="P112" i="1" s="1"/>
  <c r="Q112" i="1" s="1"/>
</calcChain>
</file>

<file path=xl/sharedStrings.xml><?xml version="1.0" encoding="utf-8"?>
<sst xmlns="http://schemas.openxmlformats.org/spreadsheetml/2006/main" count="20" uniqueCount="20">
  <si>
    <t>High</t>
  </si>
  <si>
    <t>Low</t>
  </si>
  <si>
    <t>Alpha</t>
  </si>
  <si>
    <t>FRAMA</t>
  </si>
  <si>
    <t>Mid-price</t>
  </si>
  <si>
    <t>N1 max high</t>
  </si>
  <si>
    <t>N1 min low</t>
  </si>
  <si>
    <t>N2 min low</t>
  </si>
  <si>
    <t>N2 max high</t>
  </si>
  <si>
    <t>N3 min low</t>
  </si>
  <si>
    <t>N3 max high</t>
  </si>
  <si>
    <t>FDIM</t>
  </si>
  <si>
    <t>N3 range</t>
  </si>
  <si>
    <t>N2 range</t>
  </si>
  <si>
    <t>N1 range</t>
  </si>
  <si>
    <t>w</t>
  </si>
  <si>
    <t>alpha</t>
  </si>
  <si>
    <t>Alpha raw</t>
  </si>
  <si>
    <t>FDIM raw</t>
  </si>
  <si>
    <t>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</si>
</sst>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000"/>
    <numFmt numFmtId="165" formatCode="0.00000"/>
    <numFmt numFmtId="166" formatCode="0.00000000000000"/>
    <numFmt numFmtId="167" formatCode="0.00000000000000000"/>
    <numFmt numFmtId="168" formatCode="0.0000000"/>
    <numFmt numFmtId="169" formatCode="0.00000000"/>
    <numFmt numFmtId="170" formatCode="0.000000000000000"/>
    <numFmt numFmtId="171" formatCode="0.0000000000000000"/>
    <numFmt numFmtId="172" formatCode="0.000000000000000000"/>
    <numFmt numFmtId="173" formatCode="0.00000000000000000000"/>
  </numFmts>
  <fonts count="3">
    <font>
      <sz val="10"/>
      <name val="Geneva"/>
    </font>
    <font>
      <sz val="10"/>
      <name val="Geneva"/>
    </font>
    <font>
      <sz val="10"/>
      <color indexed="22"/>
      <name val="Geneva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 style="mediumDashed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" fontId="0" fillId="0" borderId="0" xfId="0" applyNumberFormat="1"/>
    <xf numFmtId="2" fontId="0" fillId="0" borderId="0" xfId="0" applyNumberFormat="1"/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center"/>
    </xf>
    <xf numFmtId="165" fontId="0" fillId="0" borderId="1" xfId="0" applyNumberFormat="1" applyBorder="1"/>
    <xf numFmtId="165" fontId="1" fillId="0" borderId="1" xfId="0" applyNumberFormat="1" applyFont="1" applyBorder="1"/>
    <xf numFmtId="0" fontId="0" fillId="2" borderId="0" xfId="0" applyFill="1"/>
    <xf numFmtId="1" fontId="0" fillId="2" borderId="0" xfId="0" applyNumberFormat="1" applyFill="1"/>
    <xf numFmtId="1" fontId="0" fillId="2" borderId="0" xfId="0" applyNumberFormat="1" applyFill="1" applyAlignment="1">
      <alignment horizontal="center"/>
    </xf>
    <xf numFmtId="164" fontId="0" fillId="2" borderId="0" xfId="0" applyNumberFormat="1" applyFill="1"/>
    <xf numFmtId="2" fontId="2" fillId="2" borderId="0" xfId="0" applyNumberFormat="1" applyFont="1" applyFill="1"/>
    <xf numFmtId="164" fontId="2" fillId="2" borderId="0" xfId="0" applyNumberFormat="1" applyFont="1" applyFill="1"/>
    <xf numFmtId="2" fontId="0" fillId="2" borderId="0" xfId="0" applyNumberFormat="1" applyFill="1"/>
    <xf numFmtId="168" fontId="0" fillId="2" borderId="0" xfId="0" applyNumberFormat="1" applyFill="1"/>
    <xf numFmtId="169" fontId="0" fillId="2" borderId="0" xfId="0" applyNumberFormat="1" applyFill="1"/>
    <xf numFmtId="166" fontId="0" fillId="2" borderId="0" xfId="0" applyNumberFormat="1" applyFill="1"/>
    <xf numFmtId="170" fontId="0" fillId="2" borderId="0" xfId="0" applyNumberFormat="1" applyFill="1"/>
    <xf numFmtId="167" fontId="0" fillId="2" borderId="0" xfId="0" applyNumberFormat="1" applyFill="1"/>
    <xf numFmtId="171" fontId="0" fillId="2" borderId="0" xfId="0" applyNumberFormat="1" applyFill="1"/>
    <xf numFmtId="165" fontId="0" fillId="2" borderId="1" xfId="0" applyNumberFormat="1" applyFill="1" applyBorder="1"/>
    <xf numFmtId="169" fontId="0" fillId="2" borderId="0" xfId="0" applyNumberFormat="1" applyFill="1" applyAlignment="1">
      <alignment horizontal="center"/>
    </xf>
    <xf numFmtId="172" fontId="0" fillId="2" borderId="0" xfId="0" applyNumberFormat="1" applyFill="1" applyAlignment="1">
      <alignment horizontal="center"/>
    </xf>
    <xf numFmtId="166" fontId="0" fillId="0" borderId="0" xfId="0" applyNumberFormat="1"/>
    <xf numFmtId="173" fontId="0" fillId="0" borderId="0" xfId="0" applyNumberForma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FDIM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442038495188104E-2"/>
          <c:y val="0.17171296296296298"/>
          <c:w val="0.89655796150481193"/>
          <c:h val="0.7084109798775153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test_FRAMA!$O$20:$O$256</c:f>
              <c:numCache>
                <c:formatCode>0.0000000000000000</c:formatCode>
                <c:ptCount val="237"/>
                <c:pt idx="0">
                  <c:v>1.5989016916790302</c:v>
                </c:pt>
                <c:pt idx="1">
                  <c:v>1.6216564479315434</c:v>
                </c:pt>
                <c:pt idx="2">
                  <c:v>1.6216564479315434</c:v>
                </c:pt>
                <c:pt idx="3">
                  <c:v>1.6125242802010982</c:v>
                </c:pt>
                <c:pt idx="4">
                  <c:v>1.8091946354408508</c:v>
                </c:pt>
                <c:pt idx="5">
                  <c:v>1.3873197061084532</c:v>
                </c:pt>
                <c:pt idx="6">
                  <c:v>1.433510159350323</c:v>
                </c:pt>
                <c:pt idx="7">
                  <c:v>1.5297376716843252</c:v>
                </c:pt>
                <c:pt idx="8">
                  <c:v>1.4685145652094989</c:v>
                </c:pt>
                <c:pt idx="9">
                  <c:v>1.3835416463496026</c:v>
                </c:pt>
                <c:pt idx="10">
                  <c:v>1.3710941516912467</c:v>
                </c:pt>
                <c:pt idx="11">
                  <c:v>1.3710941516912467</c:v>
                </c:pt>
                <c:pt idx="12">
                  <c:v>1.2594066417894758</c:v>
                </c:pt>
                <c:pt idx="13">
                  <c:v>1.2772604938455994</c:v>
                </c:pt>
                <c:pt idx="14">
                  <c:v>1.2980122677174908</c:v>
                </c:pt>
                <c:pt idx="15">
                  <c:v>1.466219310044778</c:v>
                </c:pt>
                <c:pt idx="16">
                  <c:v>1.6495099491022336</c:v>
                </c:pt>
                <c:pt idx="17">
                  <c:v>1.7563664310893821</c:v>
                </c:pt>
                <c:pt idx="18">
                  <c:v>1.779825403913371</c:v>
                </c:pt>
                <c:pt idx="19">
                  <c:v>1.6057391793932179</c:v>
                </c:pt>
                <c:pt idx="20">
                  <c:v>1.6697643421260784</c:v>
                </c:pt>
                <c:pt idx="21">
                  <c:v>1.6303544035351707</c:v>
                </c:pt>
                <c:pt idx="22">
                  <c:v>1.7437480793810067</c:v>
                </c:pt>
                <c:pt idx="23">
                  <c:v>1.8070160889153519</c:v>
                </c:pt>
                <c:pt idx="24">
                  <c:v>1.8070160889153519</c:v>
                </c:pt>
                <c:pt idx="25">
                  <c:v>1.8101754411199829</c:v>
                </c:pt>
                <c:pt idx="26">
                  <c:v>1.8365012677171209</c:v>
                </c:pt>
                <c:pt idx="27">
                  <c:v>1.8268122115486871</c:v>
                </c:pt>
                <c:pt idx="28">
                  <c:v>1.8065269765307836</c:v>
                </c:pt>
                <c:pt idx="29">
                  <c:v>1.6457765634261345</c:v>
                </c:pt>
                <c:pt idx="30">
                  <c:v>1.7494314381790597</c:v>
                </c:pt>
                <c:pt idx="31">
                  <c:v>1.7758215299832303</c:v>
                </c:pt>
                <c:pt idx="32">
                  <c:v>1.7758215299832303</c:v>
                </c:pt>
                <c:pt idx="33">
                  <c:v>1.5584646985440804</c:v>
                </c:pt>
                <c:pt idx="34">
                  <c:v>1.3777673357119817</c:v>
                </c:pt>
                <c:pt idx="35">
                  <c:v>1.1711528270831366</c:v>
                </c:pt>
                <c:pt idx="36">
                  <c:v>1.4202103088395788</c:v>
                </c:pt>
                <c:pt idx="37">
                  <c:v>1.8547370527919567</c:v>
                </c:pt>
                <c:pt idx="38">
                  <c:v>1.9061533983309098</c:v>
                </c:pt>
                <c:pt idx="39">
                  <c:v>1.8800773849282806</c:v>
                </c:pt>
                <c:pt idx="40">
                  <c:v>1.8800773849282806</c:v>
                </c:pt>
                <c:pt idx="41">
                  <c:v>1.6865132953564077</c:v>
                </c:pt>
                <c:pt idx="42">
                  <c:v>1.361619952167229</c:v>
                </c:pt>
                <c:pt idx="43">
                  <c:v>1.1070561035706539</c:v>
                </c:pt>
                <c:pt idx="44">
                  <c:v>1.4633716166461266</c:v>
                </c:pt>
                <c:pt idx="45">
                  <c:v>1.6918150781518257</c:v>
                </c:pt>
                <c:pt idx="46">
                  <c:v>1.7465342239808685</c:v>
                </c:pt>
                <c:pt idx="47">
                  <c:v>1.8895184565842424</c:v>
                </c:pt>
                <c:pt idx="48">
                  <c:v>1.6918777046376683</c:v>
                </c:pt>
                <c:pt idx="49">
                  <c:v>1.6300409973675214</c:v>
                </c:pt>
                <c:pt idx="50">
                  <c:v>1.3028544494447269</c:v>
                </c:pt>
                <c:pt idx="51">
                  <c:v>1.2249599518964589</c:v>
                </c:pt>
                <c:pt idx="52">
                  <c:v>1.3478376403237113</c:v>
                </c:pt>
                <c:pt idx="53">
                  <c:v>1.3595688404390482</c:v>
                </c:pt>
                <c:pt idx="54">
                  <c:v>1.2151789311038736</c:v>
                </c:pt>
                <c:pt idx="55">
                  <c:v>1.5697147270222191</c:v>
                </c:pt>
                <c:pt idx="56">
                  <c:v>1.9225587723443893</c:v>
                </c:pt>
                <c:pt idx="57">
                  <c:v>1.7750505414831743</c:v>
                </c:pt>
                <c:pt idx="58">
                  <c:v>1.6284375392813935</c:v>
                </c:pt>
                <c:pt idx="59">
                  <c:v>1.4557634370504369</c:v>
                </c:pt>
                <c:pt idx="60">
                  <c:v>1.4583673188170656</c:v>
                </c:pt>
                <c:pt idx="61">
                  <c:v>1.3861851456742396</c:v>
                </c:pt>
                <c:pt idx="62">
                  <c:v>1.2850225632898331</c:v>
                </c:pt>
                <c:pt idx="63">
                  <c:v>1.3546330216533387</c:v>
                </c:pt>
                <c:pt idx="64">
                  <c:v>1.4256289105465594</c:v>
                </c:pt>
                <c:pt idx="65">
                  <c:v>1.5453063003693659</c:v>
                </c:pt>
                <c:pt idx="66">
                  <c:v>1.5249178781874095</c:v>
                </c:pt>
                <c:pt idx="67">
                  <c:v>1</c:v>
                </c:pt>
                <c:pt idx="68">
                  <c:v>1.1503925312696226</c:v>
                </c:pt>
                <c:pt idx="69">
                  <c:v>1.1115263530762567</c:v>
                </c:pt>
                <c:pt idx="70">
                  <c:v>1.1868016398936367</c:v>
                </c:pt>
                <c:pt idx="71">
                  <c:v>1.2829702251015866</c:v>
                </c:pt>
                <c:pt idx="72">
                  <c:v>1.2637284705025684</c:v>
                </c:pt>
                <c:pt idx="73">
                  <c:v>1.2637284705025684</c:v>
                </c:pt>
                <c:pt idx="74">
                  <c:v>1.1905641920519694</c:v>
                </c:pt>
                <c:pt idx="75">
                  <c:v>1.2003036620274607</c:v>
                </c:pt>
                <c:pt idx="76">
                  <c:v>1.2160081155399136</c:v>
                </c:pt>
                <c:pt idx="77">
                  <c:v>1.2392289397549998</c:v>
                </c:pt>
                <c:pt idx="78">
                  <c:v>1.1547800477390413</c:v>
                </c:pt>
                <c:pt idx="79">
                  <c:v>1.0662510818388422</c:v>
                </c:pt>
                <c:pt idx="80">
                  <c:v>1.2015159505781998</c:v>
                </c:pt>
                <c:pt idx="81">
                  <c:v>1.2015159505781998</c:v>
                </c:pt>
                <c:pt idx="82">
                  <c:v>1.2247272576461707</c:v>
                </c:pt>
                <c:pt idx="83">
                  <c:v>1.6613351703915409</c:v>
                </c:pt>
                <c:pt idx="84">
                  <c:v>1.5920299908837205</c:v>
                </c:pt>
                <c:pt idx="85">
                  <c:v>1.6008206011683732</c:v>
                </c:pt>
                <c:pt idx="86">
                  <c:v>1.5926495714567181</c:v>
                </c:pt>
                <c:pt idx="87">
                  <c:v>1.5968960497280449</c:v>
                </c:pt>
                <c:pt idx="88">
                  <c:v>1.6617196997051942</c:v>
                </c:pt>
                <c:pt idx="89">
                  <c:v>1.6617196997051942</c:v>
                </c:pt>
                <c:pt idx="90">
                  <c:v>1.6310321494171409</c:v>
                </c:pt>
                <c:pt idx="91">
                  <c:v>1.9328299949679044</c:v>
                </c:pt>
                <c:pt idx="92">
                  <c:v>1.8489779980860535</c:v>
                </c:pt>
                <c:pt idx="93">
                  <c:v>1.8489779980860535</c:v>
                </c:pt>
                <c:pt idx="94">
                  <c:v>1.7861695921669765</c:v>
                </c:pt>
                <c:pt idx="95">
                  <c:v>1.7118994068900621</c:v>
                </c:pt>
                <c:pt idx="96">
                  <c:v>1.6335972759720325</c:v>
                </c:pt>
                <c:pt idx="97">
                  <c:v>1.5651992458997261</c:v>
                </c:pt>
                <c:pt idx="98">
                  <c:v>1.5556158503003472</c:v>
                </c:pt>
                <c:pt idx="99">
                  <c:v>1.7881935887806466</c:v>
                </c:pt>
                <c:pt idx="100">
                  <c:v>1.7881935887806466</c:v>
                </c:pt>
                <c:pt idx="101">
                  <c:v>1.6413418885724709</c:v>
                </c:pt>
                <c:pt idx="102">
                  <c:v>1.5836486903754752</c:v>
                </c:pt>
                <c:pt idx="103">
                  <c:v>1.5058798321184796</c:v>
                </c:pt>
                <c:pt idx="104">
                  <c:v>1.5146622803336243</c:v>
                </c:pt>
                <c:pt idx="105">
                  <c:v>1.2439046422443696</c:v>
                </c:pt>
                <c:pt idx="106">
                  <c:v>1.2352248666812342</c:v>
                </c:pt>
                <c:pt idx="107">
                  <c:v>1.199278170274843</c:v>
                </c:pt>
                <c:pt idx="108">
                  <c:v>1.0322895379565051</c:v>
                </c:pt>
                <c:pt idx="109">
                  <c:v>1.2815914103680657</c:v>
                </c:pt>
                <c:pt idx="110">
                  <c:v>1.3943745060909538</c:v>
                </c:pt>
                <c:pt idx="111">
                  <c:v>1.3910728259732701</c:v>
                </c:pt>
                <c:pt idx="112">
                  <c:v>1.3680899627966696</c:v>
                </c:pt>
                <c:pt idx="113">
                  <c:v>1.4161214989097426</c:v>
                </c:pt>
                <c:pt idx="114">
                  <c:v>1.34613391399291</c:v>
                </c:pt>
                <c:pt idx="115">
                  <c:v>1.2369006963608025</c:v>
                </c:pt>
                <c:pt idx="116">
                  <c:v>1.2950011906417971</c:v>
                </c:pt>
                <c:pt idx="117">
                  <c:v>1.1913146976011582</c:v>
                </c:pt>
                <c:pt idx="118">
                  <c:v>1.1268259711494448</c:v>
                </c:pt>
                <c:pt idx="119">
                  <c:v>1.2440892372497028</c:v>
                </c:pt>
                <c:pt idx="120">
                  <c:v>1.1413558492455416</c:v>
                </c:pt>
                <c:pt idx="121">
                  <c:v>1.6371874304826277</c:v>
                </c:pt>
                <c:pt idx="122">
                  <c:v>1.758912120860556</c:v>
                </c:pt>
                <c:pt idx="123">
                  <c:v>1.9355979666301906</c:v>
                </c:pt>
                <c:pt idx="124">
                  <c:v>1.7282325466711093</c:v>
                </c:pt>
                <c:pt idx="125">
                  <c:v>1.6471609360237915</c:v>
                </c:pt>
                <c:pt idx="126">
                  <c:v>1.5829295129089052</c:v>
                </c:pt>
                <c:pt idx="127">
                  <c:v>1.5829295129089052</c:v>
                </c:pt>
                <c:pt idx="128">
                  <c:v>1</c:v>
                </c:pt>
                <c:pt idx="129">
                  <c:v>1.2900605715796862</c:v>
                </c:pt>
                <c:pt idx="130">
                  <c:v>1.2032930850913406</c:v>
                </c:pt>
                <c:pt idx="131">
                  <c:v>1.3186267317971112</c:v>
                </c:pt>
                <c:pt idx="132">
                  <c:v>1.3690996865734557</c:v>
                </c:pt>
                <c:pt idx="133">
                  <c:v>1.3614418279462019</c:v>
                </c:pt>
                <c:pt idx="134">
                  <c:v>1.3614418279462019</c:v>
                </c:pt>
                <c:pt idx="135">
                  <c:v>1.2695609213220644</c:v>
                </c:pt>
                <c:pt idx="136">
                  <c:v>1.3791969709939413</c:v>
                </c:pt>
                <c:pt idx="137">
                  <c:v>1.4428754766012395</c:v>
                </c:pt>
                <c:pt idx="138">
                  <c:v>1.5521874646295359</c:v>
                </c:pt>
                <c:pt idx="139">
                  <c:v>1.841211817056237</c:v>
                </c:pt>
                <c:pt idx="140">
                  <c:v>1.9118078495888493</c:v>
                </c:pt>
                <c:pt idx="141">
                  <c:v>1.8986577437796908</c:v>
                </c:pt>
                <c:pt idx="142">
                  <c:v>1.8542254255685862</c:v>
                </c:pt>
                <c:pt idx="143">
                  <c:v>1.7379214961663187</c:v>
                </c:pt>
                <c:pt idx="144">
                  <c:v>1.674182027088438</c:v>
                </c:pt>
                <c:pt idx="145">
                  <c:v>1.5821708301095785</c:v>
                </c:pt>
                <c:pt idx="146">
                  <c:v>1.5821708301095785</c:v>
                </c:pt>
                <c:pt idx="147">
                  <c:v>1.5925127743310372</c:v>
                </c:pt>
                <c:pt idx="148">
                  <c:v>1.6598791675577351</c:v>
                </c:pt>
                <c:pt idx="149">
                  <c:v>1.7818749135685441</c:v>
                </c:pt>
                <c:pt idx="150">
                  <c:v>1.553583499247607</c:v>
                </c:pt>
                <c:pt idx="151">
                  <c:v>1.565487746752301</c:v>
                </c:pt>
                <c:pt idx="152">
                  <c:v>1.8294321067823218</c:v>
                </c:pt>
                <c:pt idx="153">
                  <c:v>1.8923244824738548</c:v>
                </c:pt>
                <c:pt idx="154">
                  <c:v>1.9795475020834519</c:v>
                </c:pt>
                <c:pt idx="155">
                  <c:v>1.7140827679292598</c:v>
                </c:pt>
                <c:pt idx="156">
                  <c:v>1.6144620261103082</c:v>
                </c:pt>
                <c:pt idx="157">
                  <c:v>1.5300886401921716</c:v>
                </c:pt>
                <c:pt idx="158">
                  <c:v>1.2367792569313441</c:v>
                </c:pt>
                <c:pt idx="159">
                  <c:v>1.1427961096802766</c:v>
                </c:pt>
                <c:pt idx="160">
                  <c:v>1.3250126085621621</c:v>
                </c:pt>
                <c:pt idx="161">
                  <c:v>1.0422612244715808</c:v>
                </c:pt>
                <c:pt idx="162">
                  <c:v>1.1129678373963425</c:v>
                </c:pt>
                <c:pt idx="163">
                  <c:v>1.6525800793625005</c:v>
                </c:pt>
                <c:pt idx="164">
                  <c:v>1.7478886213509979</c:v>
                </c:pt>
                <c:pt idx="165">
                  <c:v>1.8875252707415873</c:v>
                </c:pt>
                <c:pt idx="166">
                  <c:v>1.8455069809047806</c:v>
                </c:pt>
                <c:pt idx="167">
                  <c:v>1.7325196891350141</c:v>
                </c:pt>
                <c:pt idx="168">
                  <c:v>1.6988304652794353</c:v>
                </c:pt>
                <c:pt idx="169">
                  <c:v>1.3264373034090846</c:v>
                </c:pt>
                <c:pt idx="170">
                  <c:v>1.2355938777432594</c:v>
                </c:pt>
                <c:pt idx="171">
                  <c:v>1.4885690674398981</c:v>
                </c:pt>
                <c:pt idx="172">
                  <c:v>1.406429149758943</c:v>
                </c:pt>
                <c:pt idx="173">
                  <c:v>1.242407755243836</c:v>
                </c:pt>
                <c:pt idx="174">
                  <c:v>1.2659083012879044</c:v>
                </c:pt>
                <c:pt idx="175">
                  <c:v>1.3509323835799338</c:v>
                </c:pt>
                <c:pt idx="176">
                  <c:v>1.4078059300477683</c:v>
                </c:pt>
                <c:pt idx="177">
                  <c:v>1.3205947352352541</c:v>
                </c:pt>
                <c:pt idx="178">
                  <c:v>1.1863487684801903</c:v>
                </c:pt>
                <c:pt idx="179">
                  <c:v>1.2190610414964946</c:v>
                </c:pt>
                <c:pt idx="180">
                  <c:v>1.2447909240070472</c:v>
                </c:pt>
                <c:pt idx="181">
                  <c:v>1.4219780967236113</c:v>
                </c:pt>
                <c:pt idx="182">
                  <c:v>1.4170640851144458</c:v>
                </c:pt>
                <c:pt idx="183">
                  <c:v>1.3962053654978002</c:v>
                </c:pt>
                <c:pt idx="184">
                  <c:v>1.215187037194789</c:v>
                </c:pt>
                <c:pt idx="185">
                  <c:v>1.1084443448842711</c:v>
                </c:pt>
                <c:pt idx="186">
                  <c:v>1.3679364867658887</c:v>
                </c:pt>
                <c:pt idx="187">
                  <c:v>1.1521715735387708</c:v>
                </c:pt>
                <c:pt idx="188">
                  <c:v>1.1234583720815288</c:v>
                </c:pt>
                <c:pt idx="189">
                  <c:v>1.3048946976210991</c:v>
                </c:pt>
                <c:pt idx="190">
                  <c:v>1.3154266050474521</c:v>
                </c:pt>
                <c:pt idx="191">
                  <c:v>1.3474346890332176</c:v>
                </c:pt>
                <c:pt idx="192">
                  <c:v>1.3833923543879285</c:v>
                </c:pt>
                <c:pt idx="193">
                  <c:v>1.4134736020624075</c:v>
                </c:pt>
                <c:pt idx="194">
                  <c:v>1</c:v>
                </c:pt>
                <c:pt idx="195">
                  <c:v>1.3402148526274338</c:v>
                </c:pt>
                <c:pt idx="196">
                  <c:v>1.3628365542729588</c:v>
                </c:pt>
                <c:pt idx="197">
                  <c:v>1.4584500821162372</c:v>
                </c:pt>
                <c:pt idx="198">
                  <c:v>1.4584500821162372</c:v>
                </c:pt>
                <c:pt idx="199">
                  <c:v>1.4584500821162372</c:v>
                </c:pt>
                <c:pt idx="200">
                  <c:v>1.4584500821162372</c:v>
                </c:pt>
                <c:pt idx="201">
                  <c:v>1.4501348139042338</c:v>
                </c:pt>
                <c:pt idx="202">
                  <c:v>1.8073549220576042</c:v>
                </c:pt>
                <c:pt idx="203">
                  <c:v>1.6760667692222602</c:v>
                </c:pt>
                <c:pt idx="204">
                  <c:v>1.6760667692222602</c:v>
                </c:pt>
                <c:pt idx="205">
                  <c:v>1.8577598754948474</c:v>
                </c:pt>
                <c:pt idx="206">
                  <c:v>1.8300749985576874</c:v>
                </c:pt>
                <c:pt idx="207">
                  <c:v>1.7494150809996998</c:v>
                </c:pt>
                <c:pt idx="208">
                  <c:v>1.5078785202557496</c:v>
                </c:pt>
                <c:pt idx="209">
                  <c:v>1.4175779720696229</c:v>
                </c:pt>
                <c:pt idx="210">
                  <c:v>1.316836652604664</c:v>
                </c:pt>
                <c:pt idx="211">
                  <c:v>1.316836652604664</c:v>
                </c:pt>
                <c:pt idx="212">
                  <c:v>1.316836652604664</c:v>
                </c:pt>
                <c:pt idx="213">
                  <c:v>1.3195803400309392</c:v>
                </c:pt>
                <c:pt idx="214">
                  <c:v>1.2671250505256124</c:v>
                </c:pt>
                <c:pt idx="215">
                  <c:v>1</c:v>
                </c:pt>
                <c:pt idx="216">
                  <c:v>1.2532439026409845</c:v>
                </c:pt>
                <c:pt idx="217">
                  <c:v>1.4086112301194107</c:v>
                </c:pt>
                <c:pt idx="218">
                  <c:v>1.4195614761464279</c:v>
                </c:pt>
                <c:pt idx="219">
                  <c:v>1.3692513250090392</c:v>
                </c:pt>
                <c:pt idx="220">
                  <c:v>1.348322665371892</c:v>
                </c:pt>
                <c:pt idx="221">
                  <c:v>1.3365254711003205</c:v>
                </c:pt>
                <c:pt idx="222">
                  <c:v>1.3411964285921416</c:v>
                </c:pt>
                <c:pt idx="223">
                  <c:v>1.3490076289436466</c:v>
                </c:pt>
                <c:pt idx="224">
                  <c:v>1.2178187251010044</c:v>
                </c:pt>
                <c:pt idx="225">
                  <c:v>1.4978547844057517</c:v>
                </c:pt>
                <c:pt idx="226">
                  <c:v>1.6697905109692106</c:v>
                </c:pt>
                <c:pt idx="227">
                  <c:v>1.7945198406242955</c:v>
                </c:pt>
                <c:pt idx="228">
                  <c:v>1.867896463992655</c:v>
                </c:pt>
                <c:pt idx="229">
                  <c:v>1.4982508675278254</c:v>
                </c:pt>
                <c:pt idx="230">
                  <c:v>1.501004721822865</c:v>
                </c:pt>
                <c:pt idx="231">
                  <c:v>1.4328169118400786</c:v>
                </c:pt>
                <c:pt idx="232">
                  <c:v>1.3281374613142936</c:v>
                </c:pt>
                <c:pt idx="233">
                  <c:v>1.3800224306603799</c:v>
                </c:pt>
                <c:pt idx="234">
                  <c:v>1.2483583873352957</c:v>
                </c:pt>
                <c:pt idx="235">
                  <c:v>1.2268304084476946</c:v>
                </c:pt>
                <c:pt idx="236">
                  <c:v>1.303801476703039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CA-476D-B188-75A0B69283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9426872"/>
        <c:axId val="860392264"/>
      </c:lineChart>
      <c:catAx>
        <c:axId val="8594268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0392264"/>
        <c:crosses val="autoZero"/>
        <c:auto val="1"/>
        <c:lblAlgn val="ctr"/>
        <c:lblOffset val="100"/>
        <c:noMultiLvlLbl val="0"/>
      </c:catAx>
      <c:valAx>
        <c:axId val="860392264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426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Mid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test_FRAMA!$D$5:$D$256</c:f>
              <c:numCache>
                <c:formatCode>0.00000</c:formatCode>
                <c:ptCount val="252"/>
                <c:pt idx="0">
                  <c:v>92</c:v>
                </c:pt>
                <c:pt idx="1">
                  <c:v>93.172499999999999</c:v>
                </c:pt>
                <c:pt idx="2">
                  <c:v>95.3125</c:v>
                </c:pt>
                <c:pt idx="3">
                  <c:v>94.844999999999999</c:v>
                </c:pt>
                <c:pt idx="4">
                  <c:v>94.407499999999999</c:v>
                </c:pt>
                <c:pt idx="5">
                  <c:v>94.11</c:v>
                </c:pt>
                <c:pt idx="6">
                  <c:v>93.5</c:v>
                </c:pt>
                <c:pt idx="7">
                  <c:v>91.734999999999999</c:v>
                </c:pt>
                <c:pt idx="8">
                  <c:v>90.954999999999998</c:v>
                </c:pt>
                <c:pt idx="9">
                  <c:v>91.6875</c:v>
                </c:pt>
                <c:pt idx="10">
                  <c:v>94.5</c:v>
                </c:pt>
                <c:pt idx="11">
                  <c:v>97.97</c:v>
                </c:pt>
                <c:pt idx="12">
                  <c:v>97.577500000000001</c:v>
                </c:pt>
                <c:pt idx="13">
                  <c:v>90.782499999999999</c:v>
                </c:pt>
                <c:pt idx="14">
                  <c:v>89.032499999999999</c:v>
                </c:pt>
                <c:pt idx="15">
                  <c:v>92.094999999999999</c:v>
                </c:pt>
                <c:pt idx="16">
                  <c:v>91.155000000000001</c:v>
                </c:pt>
                <c:pt idx="17">
                  <c:v>89.717500000000001</c:v>
                </c:pt>
                <c:pt idx="18">
                  <c:v>90.61</c:v>
                </c:pt>
                <c:pt idx="19">
                  <c:v>91</c:v>
                </c:pt>
                <c:pt idx="20">
                  <c:v>88.922499999999999</c:v>
                </c:pt>
                <c:pt idx="21">
                  <c:v>87.515000000000001</c:v>
                </c:pt>
                <c:pt idx="22">
                  <c:v>86.4375</c:v>
                </c:pt>
                <c:pt idx="23">
                  <c:v>83.89</c:v>
                </c:pt>
                <c:pt idx="24">
                  <c:v>83.002499999999998</c:v>
                </c:pt>
                <c:pt idx="25">
                  <c:v>82.8125</c:v>
                </c:pt>
                <c:pt idx="26">
                  <c:v>82.844999999999999</c:v>
                </c:pt>
                <c:pt idx="27">
                  <c:v>86.734999999999999</c:v>
                </c:pt>
                <c:pt idx="28">
                  <c:v>86.86</c:v>
                </c:pt>
                <c:pt idx="29">
                  <c:v>87.547499999999999</c:v>
                </c:pt>
                <c:pt idx="30">
                  <c:v>85.78</c:v>
                </c:pt>
                <c:pt idx="31">
                  <c:v>86.172499999999999</c:v>
                </c:pt>
                <c:pt idx="32">
                  <c:v>86.4375</c:v>
                </c:pt>
                <c:pt idx="33">
                  <c:v>87.25</c:v>
                </c:pt>
                <c:pt idx="34">
                  <c:v>88.9375</c:v>
                </c:pt>
                <c:pt idx="35">
                  <c:v>88.204999999999998</c:v>
                </c:pt>
                <c:pt idx="36">
                  <c:v>85.8125</c:v>
                </c:pt>
                <c:pt idx="37">
                  <c:v>84.594999999999999</c:v>
                </c:pt>
                <c:pt idx="38">
                  <c:v>83.657499999999999</c:v>
                </c:pt>
                <c:pt idx="39">
                  <c:v>84.454999999999998</c:v>
                </c:pt>
                <c:pt idx="40">
                  <c:v>83.5</c:v>
                </c:pt>
                <c:pt idx="41">
                  <c:v>86.782499999999999</c:v>
                </c:pt>
                <c:pt idx="42">
                  <c:v>88.172499999999999</c:v>
                </c:pt>
                <c:pt idx="43">
                  <c:v>89.265000000000001</c:v>
                </c:pt>
                <c:pt idx="44">
                  <c:v>90.86</c:v>
                </c:pt>
                <c:pt idx="45">
                  <c:v>90.782499999999999</c:v>
                </c:pt>
                <c:pt idx="46">
                  <c:v>91.86</c:v>
                </c:pt>
                <c:pt idx="47">
                  <c:v>90.36</c:v>
                </c:pt>
                <c:pt idx="48">
                  <c:v>89.86</c:v>
                </c:pt>
                <c:pt idx="49">
                  <c:v>90.922499999999999</c:v>
                </c:pt>
                <c:pt idx="50">
                  <c:v>89.5</c:v>
                </c:pt>
                <c:pt idx="51">
                  <c:v>87.672499999999999</c:v>
                </c:pt>
                <c:pt idx="52">
                  <c:v>86.5</c:v>
                </c:pt>
                <c:pt idx="53">
                  <c:v>84.282499999999999</c:v>
                </c:pt>
                <c:pt idx="54">
                  <c:v>82.907499999999999</c:v>
                </c:pt>
                <c:pt idx="55">
                  <c:v>84.25</c:v>
                </c:pt>
                <c:pt idx="56">
                  <c:v>85.6875</c:v>
                </c:pt>
                <c:pt idx="57">
                  <c:v>86.61</c:v>
                </c:pt>
                <c:pt idx="58">
                  <c:v>88.282499999999999</c:v>
                </c:pt>
                <c:pt idx="59">
                  <c:v>89.532499999999999</c:v>
                </c:pt>
                <c:pt idx="60">
                  <c:v>89.5</c:v>
                </c:pt>
                <c:pt idx="61">
                  <c:v>88.094999999999999</c:v>
                </c:pt>
                <c:pt idx="62">
                  <c:v>90.625</c:v>
                </c:pt>
                <c:pt idx="63">
                  <c:v>92.234999999999999</c:v>
                </c:pt>
                <c:pt idx="64">
                  <c:v>91.672499999999999</c:v>
                </c:pt>
                <c:pt idx="65">
                  <c:v>92.592500000000001</c:v>
                </c:pt>
                <c:pt idx="66">
                  <c:v>93.015000000000001</c:v>
                </c:pt>
                <c:pt idx="67">
                  <c:v>91.172499999999999</c:v>
                </c:pt>
                <c:pt idx="68">
                  <c:v>90.984999999999999</c:v>
                </c:pt>
                <c:pt idx="69">
                  <c:v>90.377499999999998</c:v>
                </c:pt>
                <c:pt idx="70">
                  <c:v>88.25</c:v>
                </c:pt>
                <c:pt idx="71">
                  <c:v>86.907499999999999</c:v>
                </c:pt>
                <c:pt idx="72">
                  <c:v>84.092500000000001</c:v>
                </c:pt>
                <c:pt idx="73">
                  <c:v>83.1875</c:v>
                </c:pt>
                <c:pt idx="74">
                  <c:v>84.252499999999998</c:v>
                </c:pt>
                <c:pt idx="75">
                  <c:v>97.86</c:v>
                </c:pt>
                <c:pt idx="76">
                  <c:v>99.875</c:v>
                </c:pt>
                <c:pt idx="77">
                  <c:v>103.265</c:v>
                </c:pt>
                <c:pt idx="78">
                  <c:v>105.9375</c:v>
                </c:pt>
                <c:pt idx="79">
                  <c:v>103.5</c:v>
                </c:pt>
                <c:pt idx="80">
                  <c:v>103.11</c:v>
                </c:pt>
                <c:pt idx="81">
                  <c:v>103.61</c:v>
                </c:pt>
                <c:pt idx="82">
                  <c:v>104.64</c:v>
                </c:pt>
                <c:pt idx="83">
                  <c:v>106.815</c:v>
                </c:pt>
                <c:pt idx="84">
                  <c:v>104.9525</c:v>
                </c:pt>
                <c:pt idx="85">
                  <c:v>105.5</c:v>
                </c:pt>
                <c:pt idx="86">
                  <c:v>107.14</c:v>
                </c:pt>
                <c:pt idx="87">
                  <c:v>109.735</c:v>
                </c:pt>
                <c:pt idx="88">
                  <c:v>109.845</c:v>
                </c:pt>
                <c:pt idx="89">
                  <c:v>110.985</c:v>
                </c:pt>
                <c:pt idx="90">
                  <c:v>120</c:v>
                </c:pt>
                <c:pt idx="91">
                  <c:v>119.875</c:v>
                </c:pt>
                <c:pt idx="92">
                  <c:v>117.9075</c:v>
                </c:pt>
                <c:pt idx="93">
                  <c:v>119.4075</c:v>
                </c:pt>
                <c:pt idx="94">
                  <c:v>117.9525</c:v>
                </c:pt>
                <c:pt idx="95">
                  <c:v>117.22</c:v>
                </c:pt>
                <c:pt idx="96">
                  <c:v>115.6425</c:v>
                </c:pt>
                <c:pt idx="97">
                  <c:v>113.11</c:v>
                </c:pt>
                <c:pt idx="98">
                  <c:v>111.75</c:v>
                </c:pt>
                <c:pt idx="99">
                  <c:v>114.5175</c:v>
                </c:pt>
                <c:pt idx="100">
                  <c:v>114.745</c:v>
                </c:pt>
                <c:pt idx="101">
                  <c:v>115.47</c:v>
                </c:pt>
                <c:pt idx="102">
                  <c:v>112.53</c:v>
                </c:pt>
                <c:pt idx="103">
                  <c:v>112.03</c:v>
                </c:pt>
                <c:pt idx="104">
                  <c:v>113.435</c:v>
                </c:pt>
                <c:pt idx="105">
                  <c:v>114.22</c:v>
                </c:pt>
                <c:pt idx="106">
                  <c:v>119.595</c:v>
                </c:pt>
                <c:pt idx="107">
                  <c:v>117.965</c:v>
                </c:pt>
                <c:pt idx="108">
                  <c:v>118.715</c:v>
                </c:pt>
                <c:pt idx="109">
                  <c:v>115.03</c:v>
                </c:pt>
                <c:pt idx="110">
                  <c:v>114.53</c:v>
                </c:pt>
                <c:pt idx="111">
                  <c:v>115</c:v>
                </c:pt>
                <c:pt idx="112">
                  <c:v>116.53</c:v>
                </c:pt>
                <c:pt idx="113">
                  <c:v>120.185</c:v>
                </c:pt>
                <c:pt idx="114">
                  <c:v>120.5</c:v>
                </c:pt>
                <c:pt idx="115">
                  <c:v>120.595</c:v>
                </c:pt>
                <c:pt idx="116">
                  <c:v>124.185</c:v>
                </c:pt>
                <c:pt idx="117">
                  <c:v>125.375</c:v>
                </c:pt>
                <c:pt idx="118">
                  <c:v>122.97</c:v>
                </c:pt>
                <c:pt idx="119">
                  <c:v>123</c:v>
                </c:pt>
                <c:pt idx="120">
                  <c:v>124.435</c:v>
                </c:pt>
                <c:pt idx="121">
                  <c:v>123.44</c:v>
                </c:pt>
                <c:pt idx="122">
                  <c:v>124.03</c:v>
                </c:pt>
                <c:pt idx="123">
                  <c:v>128.185</c:v>
                </c:pt>
                <c:pt idx="124">
                  <c:v>129.655</c:v>
                </c:pt>
                <c:pt idx="125">
                  <c:v>130.875</c:v>
                </c:pt>
                <c:pt idx="126">
                  <c:v>132.345</c:v>
                </c:pt>
                <c:pt idx="127">
                  <c:v>132.065</c:v>
                </c:pt>
                <c:pt idx="128">
                  <c:v>133.815</c:v>
                </c:pt>
                <c:pt idx="129">
                  <c:v>135.66</c:v>
                </c:pt>
                <c:pt idx="130">
                  <c:v>137.035</c:v>
                </c:pt>
                <c:pt idx="131">
                  <c:v>137.47</c:v>
                </c:pt>
                <c:pt idx="132">
                  <c:v>137.345</c:v>
                </c:pt>
                <c:pt idx="133">
                  <c:v>136.315</c:v>
                </c:pt>
                <c:pt idx="134">
                  <c:v>136.44</c:v>
                </c:pt>
                <c:pt idx="135">
                  <c:v>136.285</c:v>
                </c:pt>
                <c:pt idx="136">
                  <c:v>129.095</c:v>
                </c:pt>
                <c:pt idx="137">
                  <c:v>128.31</c:v>
                </c:pt>
                <c:pt idx="138">
                  <c:v>126</c:v>
                </c:pt>
                <c:pt idx="139">
                  <c:v>124.03</c:v>
                </c:pt>
                <c:pt idx="140">
                  <c:v>123.935</c:v>
                </c:pt>
                <c:pt idx="141">
                  <c:v>125.03</c:v>
                </c:pt>
                <c:pt idx="142">
                  <c:v>127.25</c:v>
                </c:pt>
                <c:pt idx="143">
                  <c:v>125.62</c:v>
                </c:pt>
                <c:pt idx="144">
                  <c:v>125.53</c:v>
                </c:pt>
                <c:pt idx="145">
                  <c:v>123.905</c:v>
                </c:pt>
                <c:pt idx="146">
                  <c:v>120.655</c:v>
                </c:pt>
                <c:pt idx="147">
                  <c:v>119.965</c:v>
                </c:pt>
                <c:pt idx="148">
                  <c:v>120.78</c:v>
                </c:pt>
                <c:pt idx="149">
                  <c:v>124</c:v>
                </c:pt>
                <c:pt idx="150">
                  <c:v>122.78</c:v>
                </c:pt>
                <c:pt idx="151">
                  <c:v>120.72</c:v>
                </c:pt>
                <c:pt idx="152">
                  <c:v>121.78</c:v>
                </c:pt>
                <c:pt idx="153">
                  <c:v>122.405</c:v>
                </c:pt>
                <c:pt idx="154">
                  <c:v>123.25</c:v>
                </c:pt>
                <c:pt idx="155">
                  <c:v>126.185</c:v>
                </c:pt>
                <c:pt idx="156">
                  <c:v>127.56</c:v>
                </c:pt>
                <c:pt idx="157">
                  <c:v>126.565</c:v>
                </c:pt>
                <c:pt idx="158">
                  <c:v>123.06</c:v>
                </c:pt>
                <c:pt idx="159">
                  <c:v>122.715</c:v>
                </c:pt>
                <c:pt idx="160">
                  <c:v>123.59</c:v>
                </c:pt>
                <c:pt idx="161">
                  <c:v>122.31</c:v>
                </c:pt>
                <c:pt idx="162">
                  <c:v>122.465</c:v>
                </c:pt>
                <c:pt idx="163">
                  <c:v>123.965</c:v>
                </c:pt>
                <c:pt idx="164">
                  <c:v>123.97</c:v>
                </c:pt>
                <c:pt idx="165">
                  <c:v>124.155</c:v>
                </c:pt>
                <c:pt idx="166">
                  <c:v>124.435</c:v>
                </c:pt>
                <c:pt idx="167">
                  <c:v>127</c:v>
                </c:pt>
                <c:pt idx="168">
                  <c:v>125.5</c:v>
                </c:pt>
                <c:pt idx="169">
                  <c:v>128.875</c:v>
                </c:pt>
                <c:pt idx="170">
                  <c:v>130.535</c:v>
                </c:pt>
                <c:pt idx="171">
                  <c:v>132.315</c:v>
                </c:pt>
                <c:pt idx="172">
                  <c:v>134.065</c:v>
                </c:pt>
                <c:pt idx="173">
                  <c:v>136.035</c:v>
                </c:pt>
                <c:pt idx="174">
                  <c:v>133.78</c:v>
                </c:pt>
                <c:pt idx="175">
                  <c:v>132.75</c:v>
                </c:pt>
                <c:pt idx="176">
                  <c:v>133.47</c:v>
                </c:pt>
                <c:pt idx="177">
                  <c:v>130.97</c:v>
                </c:pt>
                <c:pt idx="178">
                  <c:v>127.595</c:v>
                </c:pt>
                <c:pt idx="179">
                  <c:v>128.44</c:v>
                </c:pt>
                <c:pt idx="180">
                  <c:v>127.94</c:v>
                </c:pt>
                <c:pt idx="181">
                  <c:v>125.81</c:v>
                </c:pt>
                <c:pt idx="182">
                  <c:v>124.625</c:v>
                </c:pt>
                <c:pt idx="183">
                  <c:v>122.72</c:v>
                </c:pt>
                <c:pt idx="184">
                  <c:v>124.09</c:v>
                </c:pt>
                <c:pt idx="185">
                  <c:v>123.22</c:v>
                </c:pt>
                <c:pt idx="186">
                  <c:v>121.405</c:v>
                </c:pt>
                <c:pt idx="187">
                  <c:v>120.935</c:v>
                </c:pt>
                <c:pt idx="188">
                  <c:v>118.28</c:v>
                </c:pt>
                <c:pt idx="189">
                  <c:v>118.375</c:v>
                </c:pt>
                <c:pt idx="190">
                  <c:v>121.155</c:v>
                </c:pt>
                <c:pt idx="191">
                  <c:v>120.905</c:v>
                </c:pt>
                <c:pt idx="192">
                  <c:v>117.125</c:v>
                </c:pt>
                <c:pt idx="193">
                  <c:v>113.06</c:v>
                </c:pt>
                <c:pt idx="194">
                  <c:v>114.905</c:v>
                </c:pt>
                <c:pt idx="195">
                  <c:v>112.435</c:v>
                </c:pt>
                <c:pt idx="196">
                  <c:v>107.935</c:v>
                </c:pt>
                <c:pt idx="197">
                  <c:v>105.97</c:v>
                </c:pt>
                <c:pt idx="198">
                  <c:v>106.37</c:v>
                </c:pt>
                <c:pt idx="199">
                  <c:v>106.845</c:v>
                </c:pt>
                <c:pt idx="200">
                  <c:v>106.97</c:v>
                </c:pt>
                <c:pt idx="201">
                  <c:v>110.03</c:v>
                </c:pt>
                <c:pt idx="202">
                  <c:v>91</c:v>
                </c:pt>
                <c:pt idx="203">
                  <c:v>93.56</c:v>
                </c:pt>
                <c:pt idx="204">
                  <c:v>93.62</c:v>
                </c:pt>
                <c:pt idx="205">
                  <c:v>95.31</c:v>
                </c:pt>
                <c:pt idx="206">
                  <c:v>94.185000000000002</c:v>
                </c:pt>
                <c:pt idx="207">
                  <c:v>94.78</c:v>
                </c:pt>
                <c:pt idx="208">
                  <c:v>97.625</c:v>
                </c:pt>
                <c:pt idx="209">
                  <c:v>97.59</c:v>
                </c:pt>
                <c:pt idx="210">
                  <c:v>95.25</c:v>
                </c:pt>
                <c:pt idx="211">
                  <c:v>94.72</c:v>
                </c:pt>
                <c:pt idx="212">
                  <c:v>92.22</c:v>
                </c:pt>
                <c:pt idx="213">
                  <c:v>91.564999999999998</c:v>
                </c:pt>
                <c:pt idx="214">
                  <c:v>92.22</c:v>
                </c:pt>
                <c:pt idx="215">
                  <c:v>93.81</c:v>
                </c:pt>
                <c:pt idx="216">
                  <c:v>95.59</c:v>
                </c:pt>
                <c:pt idx="217">
                  <c:v>96.185000000000002</c:v>
                </c:pt>
                <c:pt idx="218">
                  <c:v>94.625</c:v>
                </c:pt>
                <c:pt idx="219">
                  <c:v>95.12</c:v>
                </c:pt>
                <c:pt idx="220">
                  <c:v>94</c:v>
                </c:pt>
                <c:pt idx="221">
                  <c:v>93.745000000000005</c:v>
                </c:pt>
                <c:pt idx="222">
                  <c:v>95.905000000000001</c:v>
                </c:pt>
                <c:pt idx="223">
                  <c:v>101.745</c:v>
                </c:pt>
                <c:pt idx="224">
                  <c:v>106.44</c:v>
                </c:pt>
                <c:pt idx="225">
                  <c:v>107.935</c:v>
                </c:pt>
                <c:pt idx="226">
                  <c:v>103.405</c:v>
                </c:pt>
                <c:pt idx="227">
                  <c:v>105.06</c:v>
                </c:pt>
                <c:pt idx="228">
                  <c:v>104.155</c:v>
                </c:pt>
                <c:pt idx="229">
                  <c:v>103.31</c:v>
                </c:pt>
                <c:pt idx="230">
                  <c:v>103.345</c:v>
                </c:pt>
                <c:pt idx="231">
                  <c:v>104.84</c:v>
                </c:pt>
                <c:pt idx="232">
                  <c:v>110.405</c:v>
                </c:pt>
                <c:pt idx="233">
                  <c:v>114.5</c:v>
                </c:pt>
                <c:pt idx="234">
                  <c:v>117.315</c:v>
                </c:pt>
                <c:pt idx="235">
                  <c:v>118.25</c:v>
                </c:pt>
                <c:pt idx="236">
                  <c:v>117.185</c:v>
                </c:pt>
                <c:pt idx="237">
                  <c:v>109.75</c:v>
                </c:pt>
                <c:pt idx="238">
                  <c:v>109.655</c:v>
                </c:pt>
                <c:pt idx="239">
                  <c:v>108.53</c:v>
                </c:pt>
                <c:pt idx="240">
                  <c:v>106.22</c:v>
                </c:pt>
                <c:pt idx="241">
                  <c:v>107.72</c:v>
                </c:pt>
                <c:pt idx="242">
                  <c:v>109.84</c:v>
                </c:pt>
                <c:pt idx="243">
                  <c:v>109.095</c:v>
                </c:pt>
                <c:pt idx="244">
                  <c:v>109.09</c:v>
                </c:pt>
                <c:pt idx="245">
                  <c:v>109.155</c:v>
                </c:pt>
                <c:pt idx="246">
                  <c:v>109.315</c:v>
                </c:pt>
                <c:pt idx="247">
                  <c:v>109.06</c:v>
                </c:pt>
                <c:pt idx="248">
                  <c:v>109.905</c:v>
                </c:pt>
                <c:pt idx="249">
                  <c:v>109.625</c:v>
                </c:pt>
                <c:pt idx="250">
                  <c:v>109.53</c:v>
                </c:pt>
                <c:pt idx="251">
                  <c:v>108.06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DA-431F-B2CD-C825D1707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835328"/>
        <c:axId val="867836048"/>
      </c:lineChart>
      <c:catAx>
        <c:axId val="8678353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36048"/>
        <c:crosses val="autoZero"/>
        <c:auto val="1"/>
        <c:lblAlgn val="ctr"/>
        <c:lblOffset val="100"/>
        <c:noMultiLvlLbl val="0"/>
      </c:catAx>
      <c:valAx>
        <c:axId val="867836048"/>
        <c:scaling>
          <c:orientation val="minMax"/>
          <c:max val="140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35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166687</xdr:colOff>
      <xdr:row>3</xdr:row>
      <xdr:rowOff>0</xdr:rowOff>
    </xdr:from>
    <xdr:to>
      <xdr:col>23</xdr:col>
      <xdr:colOff>166687</xdr:colOff>
      <xdr:row>19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0D5CBD-5CDE-F07C-D993-DE0D0BE0BC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152400</xdr:colOff>
      <xdr:row>21</xdr:row>
      <xdr:rowOff>9525</xdr:rowOff>
    </xdr:from>
    <xdr:to>
      <xdr:col>23</xdr:col>
      <xdr:colOff>190500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F8CF4C-0058-41E5-6A86-D76FB38E6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008"/>
  <sheetViews>
    <sheetView tabSelected="1" topLeftCell="N1" workbookViewId="0">
      <selection activeCell="R6" sqref="R6"/>
    </sheetView>
  </sheetViews>
  <sheetFormatPr defaultColWidth="11.5703125" defaultRowHeight="12.75"/>
  <cols>
    <col min="1" max="1" width="9.140625" customWidth="1"/>
    <col min="2" max="2" width="10.85546875" customWidth="1"/>
    <col min="3" max="3" width="11.85546875" customWidth="1"/>
    <col min="4" max="4" width="12.85546875" style="1" customWidth="1"/>
    <col min="5" max="5" width="14.42578125" customWidth="1"/>
    <col min="6" max="6" width="15.7109375" customWidth="1"/>
    <col min="7" max="7" width="14.140625" style="2" customWidth="1"/>
    <col min="8" max="8" width="22.7109375" style="2" customWidth="1"/>
    <col min="9" max="9" width="21.7109375" style="2" customWidth="1"/>
    <col min="10" max="10" width="24.42578125" style="2" customWidth="1"/>
    <col min="11" max="11" width="13.42578125" style="2" customWidth="1"/>
    <col min="12" max="12" width="14.7109375" style="2" customWidth="1"/>
    <col min="13" max="13" width="13.42578125" style="2" customWidth="1"/>
    <col min="14" max="15" width="22.85546875" style="2" customWidth="1"/>
    <col min="16" max="16" width="26.42578125" customWidth="1"/>
    <col min="17" max="17" width="24.7109375" customWidth="1"/>
    <col min="18" max="18" width="20.85546875" customWidth="1"/>
    <col min="19" max="19" width="6" hidden="1" customWidth="1"/>
    <col min="20" max="20" width="28.140625" customWidth="1"/>
    <col min="21" max="21" width="34" customWidth="1"/>
    <col min="22" max="22" width="2.140625" customWidth="1"/>
    <col min="23" max="23" width="4.28515625" customWidth="1"/>
  </cols>
  <sheetData>
    <row r="1" spans="2:19">
      <c r="B1">
        <v>16</v>
      </c>
      <c r="C1">
        <v>4.5999999999999996</v>
      </c>
      <c r="D1" s="6"/>
      <c r="L1" s="2" t="s">
        <v>19</v>
      </c>
      <c r="M1" s="2" t="s">
        <v>16</v>
      </c>
      <c r="N1" s="2" t="s">
        <v>15</v>
      </c>
    </row>
    <row r="2" spans="2:19" s="11" customFormat="1">
      <c r="D2" s="12"/>
      <c r="E2" s="12"/>
      <c r="F2" s="12"/>
      <c r="G2" s="12"/>
      <c r="H2" s="13"/>
      <c r="I2" s="13"/>
      <c r="J2" s="13"/>
      <c r="K2" s="13"/>
      <c r="L2" s="13">
        <f>2/($M$2)-1</f>
        <v>199</v>
      </c>
      <c r="M2" s="25">
        <v>0.01</v>
      </c>
      <c r="N2" s="26">
        <f>LN($M$2)</f>
        <v>-4.6051701859880909</v>
      </c>
      <c r="O2" s="26"/>
      <c r="P2" s="29"/>
      <c r="Q2" s="29"/>
      <c r="R2" s="29"/>
      <c r="S2" s="29"/>
    </row>
    <row r="3" spans="2:19">
      <c r="E3" s="1"/>
      <c r="F3" s="1"/>
      <c r="G3" s="1"/>
      <c r="H3" s="3"/>
      <c r="I3" s="3"/>
      <c r="J3" s="3"/>
      <c r="K3" s="3"/>
      <c r="L3" s="3"/>
      <c r="M3" s="3"/>
      <c r="N3" s="1"/>
      <c r="O3" s="1"/>
      <c r="P3" s="8"/>
      <c r="Q3" s="8"/>
      <c r="R3" s="8"/>
    </row>
    <row r="4" spans="2:19">
      <c r="B4" t="s">
        <v>0</v>
      </c>
      <c r="C4" t="s">
        <v>1</v>
      </c>
      <c r="D4" s="3" t="s">
        <v>4</v>
      </c>
      <c r="E4" s="4" t="s">
        <v>6</v>
      </c>
      <c r="F4" s="4" t="s">
        <v>5</v>
      </c>
      <c r="G4" s="5" t="s">
        <v>14</v>
      </c>
      <c r="H4" s="5" t="s">
        <v>7</v>
      </c>
      <c r="I4" s="5" t="s">
        <v>8</v>
      </c>
      <c r="J4" s="5" t="s">
        <v>13</v>
      </c>
      <c r="K4" s="5" t="s">
        <v>9</v>
      </c>
      <c r="L4" s="5" t="s">
        <v>10</v>
      </c>
      <c r="M4" s="5" t="s">
        <v>12</v>
      </c>
      <c r="N4" s="5" t="s">
        <v>18</v>
      </c>
      <c r="O4" s="5" t="s">
        <v>11</v>
      </c>
      <c r="P4" s="4" t="s">
        <v>17</v>
      </c>
      <c r="Q4" s="4" t="s">
        <v>2</v>
      </c>
      <c r="R4" s="4" t="s">
        <v>3</v>
      </c>
    </row>
    <row r="5" spans="2:19">
      <c r="B5" s="6">
        <v>93.25</v>
      </c>
      <c r="C5" s="6">
        <v>90.75</v>
      </c>
      <c r="D5" s="9">
        <f>(B5+C5)/2</f>
        <v>92</v>
      </c>
      <c r="E5" s="11"/>
      <c r="F5" s="11"/>
      <c r="G5" s="11"/>
      <c r="H5" s="14"/>
      <c r="I5" s="14"/>
      <c r="J5" s="14"/>
      <c r="K5" s="16"/>
      <c r="L5" s="16"/>
      <c r="M5" s="16"/>
      <c r="N5" s="15"/>
      <c r="O5" s="15"/>
    </row>
    <row r="6" spans="2:19">
      <c r="B6" s="6">
        <v>94.94</v>
      </c>
      <c r="C6" s="6">
        <v>91.405000000000001</v>
      </c>
      <c r="D6" s="9">
        <f t="shared" ref="D6:D69" si="0">(B6+C6)/2</f>
        <v>93.172499999999999</v>
      </c>
      <c r="E6" s="11"/>
      <c r="F6" s="11"/>
      <c r="G6" s="11"/>
      <c r="H6" s="14"/>
      <c r="I6" s="22"/>
      <c r="J6" s="14"/>
      <c r="K6" s="16"/>
      <c r="L6" s="16"/>
      <c r="M6" s="16"/>
      <c r="N6" s="15"/>
      <c r="O6" s="15"/>
    </row>
    <row r="7" spans="2:19">
      <c r="B7" s="6">
        <v>96.375</v>
      </c>
      <c r="C7" s="6">
        <v>94.25</v>
      </c>
      <c r="D7" s="9">
        <f t="shared" si="0"/>
        <v>95.3125</v>
      </c>
      <c r="E7" s="11"/>
      <c r="F7" s="18"/>
      <c r="G7" s="11"/>
      <c r="H7" s="14"/>
      <c r="I7" s="22"/>
      <c r="J7" s="14"/>
      <c r="K7" s="16"/>
      <c r="L7" s="16"/>
      <c r="M7" s="16"/>
      <c r="N7" s="15"/>
      <c r="O7" s="15"/>
    </row>
    <row r="8" spans="2:19">
      <c r="B8" s="6">
        <v>96.19</v>
      </c>
      <c r="C8" s="6">
        <v>93.5</v>
      </c>
      <c r="D8" s="9">
        <f t="shared" si="0"/>
        <v>94.844999999999999</v>
      </c>
      <c r="E8" s="11"/>
      <c r="F8" s="18"/>
      <c r="G8" s="11"/>
      <c r="H8" s="14"/>
      <c r="I8" s="22"/>
      <c r="J8" s="14"/>
      <c r="K8" s="16"/>
      <c r="L8" s="16"/>
      <c r="M8" s="16"/>
      <c r="N8" s="15"/>
      <c r="O8" s="15"/>
    </row>
    <row r="9" spans="2:19">
      <c r="B9" s="6">
        <v>96</v>
      </c>
      <c r="C9" s="6">
        <v>92.814999999999998</v>
      </c>
      <c r="D9" s="9">
        <f t="shared" si="0"/>
        <v>94.407499999999999</v>
      </c>
      <c r="E9" s="11"/>
      <c r="F9" s="18"/>
      <c r="G9" s="11"/>
      <c r="H9" s="14"/>
      <c r="I9" s="22"/>
      <c r="J9" s="14"/>
      <c r="K9" s="16"/>
      <c r="L9" s="16"/>
      <c r="M9" s="16"/>
      <c r="N9" s="15"/>
      <c r="O9" s="15"/>
    </row>
    <row r="10" spans="2:19">
      <c r="B10" s="6">
        <v>94.72</v>
      </c>
      <c r="C10" s="6">
        <v>93.5</v>
      </c>
      <c r="D10" s="9">
        <f t="shared" si="0"/>
        <v>94.11</v>
      </c>
      <c r="E10" s="11"/>
      <c r="F10" s="18"/>
      <c r="G10" s="11"/>
      <c r="H10" s="14"/>
      <c r="I10" s="22"/>
      <c r="J10" s="14"/>
      <c r="K10" s="16"/>
      <c r="L10" s="16"/>
      <c r="M10" s="16"/>
      <c r="N10" s="15"/>
      <c r="O10" s="15"/>
    </row>
    <row r="11" spans="2:19">
      <c r="B11" s="6">
        <v>95</v>
      </c>
      <c r="C11" s="6">
        <v>92</v>
      </c>
      <c r="D11" s="9">
        <f t="shared" si="0"/>
        <v>93.5</v>
      </c>
      <c r="E11" s="11"/>
      <c r="F11" s="18"/>
      <c r="G11" s="11"/>
      <c r="H11" s="14"/>
      <c r="I11" s="22"/>
      <c r="J11" s="14"/>
      <c r="K11" s="16"/>
      <c r="L11" s="16"/>
      <c r="M11" s="16"/>
      <c r="N11" s="15"/>
      <c r="O11" s="15"/>
    </row>
    <row r="12" spans="2:19">
      <c r="B12" s="6">
        <v>93.72</v>
      </c>
      <c r="C12" s="6">
        <v>89.75</v>
      </c>
      <c r="D12" s="9">
        <f t="shared" si="0"/>
        <v>91.734999999999999</v>
      </c>
      <c r="E12" s="11"/>
      <c r="F12" s="18"/>
      <c r="G12" s="11"/>
      <c r="H12" s="14"/>
      <c r="I12" s="22"/>
      <c r="J12" s="14"/>
      <c r="K12" s="16"/>
      <c r="L12" s="16"/>
      <c r="M12" s="16"/>
      <c r="N12" s="15"/>
      <c r="O12" s="15"/>
    </row>
    <row r="13" spans="2:19">
      <c r="B13" s="6">
        <v>92.47</v>
      </c>
      <c r="C13" s="6">
        <v>89.44</v>
      </c>
      <c r="D13" s="10">
        <f t="shared" si="0"/>
        <v>90.954999999999998</v>
      </c>
      <c r="E13" s="11"/>
      <c r="F13" s="18"/>
      <c r="G13" s="11"/>
      <c r="H13" s="14"/>
      <c r="I13" s="22"/>
      <c r="J13" s="14"/>
      <c r="K13" s="16"/>
      <c r="L13" s="16"/>
      <c r="M13" s="16"/>
      <c r="N13" s="15"/>
      <c r="O13" s="15"/>
    </row>
    <row r="14" spans="2:19">
      <c r="B14" s="6">
        <v>92.75</v>
      </c>
      <c r="C14" s="6">
        <v>90.625</v>
      </c>
      <c r="D14" s="9">
        <f t="shared" si="0"/>
        <v>91.6875</v>
      </c>
      <c r="E14" s="11"/>
      <c r="F14" s="18"/>
      <c r="G14" s="11"/>
      <c r="H14" s="14"/>
      <c r="I14" s="22"/>
      <c r="J14" s="24"/>
      <c r="K14" s="16"/>
      <c r="L14" s="16"/>
      <c r="M14" s="16"/>
      <c r="N14" s="15"/>
      <c r="O14" s="15"/>
    </row>
    <row r="15" spans="2:19">
      <c r="B15" s="6">
        <v>96.25</v>
      </c>
      <c r="C15" s="6">
        <v>92.75</v>
      </c>
      <c r="D15" s="9">
        <f t="shared" si="0"/>
        <v>94.5</v>
      </c>
      <c r="E15" s="18"/>
      <c r="F15" s="18"/>
      <c r="G15" s="19"/>
      <c r="H15" s="21"/>
      <c r="I15" s="22"/>
      <c r="J15" s="24"/>
      <c r="K15" s="16"/>
      <c r="L15" s="16"/>
      <c r="M15" s="16"/>
      <c r="N15" s="15"/>
      <c r="O15" s="15"/>
    </row>
    <row r="16" spans="2:19">
      <c r="B16" s="6">
        <v>99.625</v>
      </c>
      <c r="C16" s="6">
        <v>96.314999999999998</v>
      </c>
      <c r="D16" s="9">
        <f t="shared" si="0"/>
        <v>97.97</v>
      </c>
      <c r="E16" s="18"/>
      <c r="F16" s="18"/>
      <c r="G16" s="19"/>
      <c r="H16" s="21"/>
      <c r="I16" s="22"/>
      <c r="J16" s="20"/>
      <c r="K16" s="14"/>
      <c r="L16" s="14"/>
      <c r="M16" s="14"/>
      <c r="N16" s="17"/>
      <c r="O16" s="17"/>
    </row>
    <row r="17" spans="2:18">
      <c r="B17" s="6">
        <v>99.125</v>
      </c>
      <c r="C17" s="6">
        <v>96.03</v>
      </c>
      <c r="D17" s="7">
        <f t="shared" si="0"/>
        <v>97.577500000000001</v>
      </c>
      <c r="E17" s="18"/>
      <c r="F17" s="18"/>
      <c r="G17" s="19"/>
      <c r="H17" s="21"/>
      <c r="I17" s="22"/>
      <c r="J17" s="20"/>
      <c r="K17" s="14"/>
      <c r="L17" s="14"/>
      <c r="M17" s="14"/>
      <c r="N17" s="14"/>
      <c r="O17" s="14"/>
    </row>
    <row r="18" spans="2:18">
      <c r="B18" s="6">
        <v>92.75</v>
      </c>
      <c r="C18" s="6">
        <v>88.814999999999998</v>
      </c>
      <c r="D18" s="7">
        <f t="shared" si="0"/>
        <v>90.782499999999999</v>
      </c>
      <c r="E18" s="18"/>
      <c r="F18" s="18"/>
      <c r="G18" s="19"/>
      <c r="H18" s="21"/>
      <c r="I18" s="22"/>
      <c r="J18" s="20"/>
      <c r="K18" s="14"/>
      <c r="L18" s="14"/>
      <c r="M18" s="14"/>
      <c r="N18" s="14"/>
      <c r="O18" s="14"/>
    </row>
    <row r="19" spans="2:18">
      <c r="B19" s="6">
        <v>91.314999999999998</v>
      </c>
      <c r="C19" s="6">
        <v>86.75</v>
      </c>
      <c r="D19" s="7">
        <f t="shared" si="0"/>
        <v>89.032499999999999</v>
      </c>
      <c r="E19" s="18"/>
      <c r="F19" s="18"/>
      <c r="G19" s="19"/>
      <c r="H19" s="21"/>
      <c r="I19" s="22"/>
      <c r="J19" s="20"/>
      <c r="K19" s="14"/>
      <c r="L19" s="14"/>
      <c r="M19" s="14"/>
      <c r="N19" s="14"/>
      <c r="O19" s="14"/>
      <c r="R19" s="7">
        <f>$D$19</f>
        <v>89.032499999999999</v>
      </c>
    </row>
    <row r="20" spans="2:18">
      <c r="B20" s="6">
        <v>93.25</v>
      </c>
      <c r="C20" s="6">
        <v>90.94</v>
      </c>
      <c r="D20" s="7">
        <f t="shared" si="0"/>
        <v>92.094999999999999</v>
      </c>
      <c r="E20" s="18">
        <f>MIN(C5:C12)</f>
        <v>89.75</v>
      </c>
      <c r="F20" s="18">
        <f>MAX(B5:B12)</f>
        <v>96.375</v>
      </c>
      <c r="G20" s="19">
        <f>F20-E20</f>
        <v>6.625</v>
      </c>
      <c r="H20" s="21">
        <f>MIN(C13:C20)</f>
        <v>86.75</v>
      </c>
      <c r="I20" s="22">
        <f>MAX(B13:B20)</f>
        <v>99.625</v>
      </c>
      <c r="J20" s="20">
        <f>I20-H20</f>
        <v>12.875</v>
      </c>
      <c r="K20" s="14">
        <f>MIN(C5:C20)</f>
        <v>86.75</v>
      </c>
      <c r="L20" s="14">
        <f>MAX(B5:B20)</f>
        <v>99.625</v>
      </c>
      <c r="M20" s="14">
        <f>L20-K20</f>
        <v>12.875</v>
      </c>
      <c r="N20" s="23">
        <f>(LN((G20+J20)/8)-LN(M20/16))/LN(2)</f>
        <v>1.5989016916790302</v>
      </c>
      <c r="O20" s="23">
        <f>MIN(MAX(N20,1),2)</f>
        <v>1.5989016916790302</v>
      </c>
      <c r="P20" s="28">
        <f>EXP($N$2*(O20-1))</f>
        <v>6.3415674587286405E-2</v>
      </c>
      <c r="Q20" s="28">
        <f>MIN(MAX(P20,$M$2),1)</f>
        <v>6.3415674587286405E-2</v>
      </c>
      <c r="R20" s="27">
        <f>R19+(D20-R19)*Q20</f>
        <v>89.226710503423561</v>
      </c>
    </row>
    <row r="21" spans="2:18">
      <c r="B21" s="6">
        <v>93.405000000000001</v>
      </c>
      <c r="C21" s="6">
        <v>88.905000000000001</v>
      </c>
      <c r="D21" s="7">
        <f t="shared" si="0"/>
        <v>91.155000000000001</v>
      </c>
      <c r="E21" s="18">
        <f t="shared" ref="E21:E84" si="1">MIN(C6:C13)</f>
        <v>89.44</v>
      </c>
      <c r="F21" s="18">
        <f t="shared" ref="F21:F84" si="2">MAX(B6:B13)</f>
        <v>96.375</v>
      </c>
      <c r="G21" s="19">
        <f t="shared" ref="G21:G84" si="3">F21-E21</f>
        <v>6.9350000000000023</v>
      </c>
      <c r="H21" s="21">
        <f t="shared" ref="H21:H84" si="4">MIN(C14:C21)</f>
        <v>86.75</v>
      </c>
      <c r="I21" s="22">
        <f t="shared" ref="I21:I84" si="5">MAX(B14:B21)</f>
        <v>99.625</v>
      </c>
      <c r="J21" s="20">
        <f t="shared" ref="J21:J84" si="6">I21-H21</f>
        <v>12.875</v>
      </c>
      <c r="K21" s="14">
        <f t="shared" ref="K21:K84" si="7">MIN(C6:C21)</f>
        <v>86.75</v>
      </c>
      <c r="L21" s="14">
        <f t="shared" ref="L21:L84" si="8">MAX(B6:B21)</f>
        <v>99.625</v>
      </c>
      <c r="M21" s="14">
        <f t="shared" ref="M21:M84" si="9">L21-K21</f>
        <v>12.875</v>
      </c>
      <c r="N21" s="23">
        <f t="shared" ref="N21:N84" si="10">(LN((G21+J21)/8)-LN(M21/16))/LN(2)</f>
        <v>1.6216564479315434</v>
      </c>
      <c r="O21" s="23">
        <f t="shared" ref="O21:O84" si="11">MIN(MAX(N21,1),2)</f>
        <v>1.6216564479315434</v>
      </c>
      <c r="P21" s="28">
        <f t="shared" ref="P21:P84" si="12">EXP($N$2*(O21-1))</f>
        <v>5.710670521147964E-2</v>
      </c>
      <c r="Q21" s="28">
        <f t="shared" ref="Q21:Q84" si="13">MIN(MAX(P21,$M$2),1)</f>
        <v>5.710670521147964E-2</v>
      </c>
      <c r="R21" s="27">
        <f t="shared" ref="R21:R84" si="14">R20+(D21-R20)*Q21</f>
        <v>89.336828763266951</v>
      </c>
    </row>
    <row r="22" spans="2:18">
      <c r="B22" s="6">
        <v>90.655000000000001</v>
      </c>
      <c r="C22" s="6">
        <v>88.78</v>
      </c>
      <c r="D22" s="7">
        <f t="shared" si="0"/>
        <v>89.717500000000001</v>
      </c>
      <c r="E22" s="18">
        <f t="shared" si="1"/>
        <v>89.44</v>
      </c>
      <c r="F22" s="18">
        <f t="shared" si="2"/>
        <v>96.375</v>
      </c>
      <c r="G22" s="19">
        <f t="shared" si="3"/>
        <v>6.9350000000000023</v>
      </c>
      <c r="H22" s="21">
        <f t="shared" si="4"/>
        <v>86.75</v>
      </c>
      <c r="I22" s="22">
        <f t="shared" si="5"/>
        <v>99.625</v>
      </c>
      <c r="J22" s="20">
        <f t="shared" si="6"/>
        <v>12.875</v>
      </c>
      <c r="K22" s="14">
        <f t="shared" si="7"/>
        <v>86.75</v>
      </c>
      <c r="L22" s="14">
        <f t="shared" si="8"/>
        <v>99.625</v>
      </c>
      <c r="M22" s="14">
        <f t="shared" si="9"/>
        <v>12.875</v>
      </c>
      <c r="N22" s="23">
        <f t="shared" si="10"/>
        <v>1.6216564479315434</v>
      </c>
      <c r="O22" s="23">
        <f t="shared" si="11"/>
        <v>1.6216564479315434</v>
      </c>
      <c r="P22" s="28">
        <f t="shared" si="12"/>
        <v>5.710670521147964E-2</v>
      </c>
      <c r="Q22" s="28">
        <f t="shared" si="13"/>
        <v>5.710670521147964E-2</v>
      </c>
      <c r="R22" s="27">
        <f t="shared" si="14"/>
        <v>89.358567643365561</v>
      </c>
    </row>
    <row r="23" spans="2:18">
      <c r="B23" s="6">
        <v>91.97</v>
      </c>
      <c r="C23" s="6">
        <v>89.25</v>
      </c>
      <c r="D23" s="7">
        <f t="shared" si="0"/>
        <v>90.61</v>
      </c>
      <c r="E23" s="18">
        <f t="shared" si="1"/>
        <v>89.44</v>
      </c>
      <c r="F23" s="18">
        <f t="shared" si="2"/>
        <v>96.25</v>
      </c>
      <c r="G23" s="19">
        <f t="shared" si="3"/>
        <v>6.8100000000000023</v>
      </c>
      <c r="H23" s="21">
        <f t="shared" si="4"/>
        <v>86.75</v>
      </c>
      <c r="I23" s="22">
        <f t="shared" si="5"/>
        <v>99.625</v>
      </c>
      <c r="J23" s="20">
        <f t="shared" si="6"/>
        <v>12.875</v>
      </c>
      <c r="K23" s="14">
        <f t="shared" si="7"/>
        <v>86.75</v>
      </c>
      <c r="L23" s="14">
        <f t="shared" si="8"/>
        <v>99.625</v>
      </c>
      <c r="M23" s="14">
        <f t="shared" si="9"/>
        <v>12.875</v>
      </c>
      <c r="N23" s="23">
        <f t="shared" si="10"/>
        <v>1.6125242802010982</v>
      </c>
      <c r="O23" s="23">
        <f t="shared" si="11"/>
        <v>1.6125242802010982</v>
      </c>
      <c r="P23" s="28">
        <f t="shared" si="12"/>
        <v>5.9559554361264359E-2</v>
      </c>
      <c r="Q23" s="28">
        <f t="shared" si="13"/>
        <v>5.9559554361264359E-2</v>
      </c>
      <c r="R23" s="27">
        <f t="shared" si="14"/>
        <v>89.433102396839971</v>
      </c>
    </row>
    <row r="24" spans="2:18">
      <c r="B24" s="6">
        <v>92.25</v>
      </c>
      <c r="C24" s="6">
        <v>89.75</v>
      </c>
      <c r="D24" s="7">
        <f t="shared" si="0"/>
        <v>91</v>
      </c>
      <c r="E24" s="18">
        <f t="shared" si="1"/>
        <v>89.44</v>
      </c>
      <c r="F24" s="18">
        <f t="shared" si="2"/>
        <v>99.625</v>
      </c>
      <c r="G24" s="19">
        <f t="shared" si="3"/>
        <v>10.185000000000002</v>
      </c>
      <c r="H24" s="21">
        <f t="shared" si="4"/>
        <v>86.75</v>
      </c>
      <c r="I24" s="22">
        <f t="shared" si="5"/>
        <v>99.125</v>
      </c>
      <c r="J24" s="20">
        <f t="shared" si="6"/>
        <v>12.375</v>
      </c>
      <c r="K24" s="14">
        <f t="shared" si="7"/>
        <v>86.75</v>
      </c>
      <c r="L24" s="14">
        <f t="shared" si="8"/>
        <v>99.625</v>
      </c>
      <c r="M24" s="14">
        <f t="shared" si="9"/>
        <v>12.875</v>
      </c>
      <c r="N24" s="23">
        <f t="shared" si="10"/>
        <v>1.8091946354408508</v>
      </c>
      <c r="O24" s="23">
        <f t="shared" si="11"/>
        <v>1.8091946354408508</v>
      </c>
      <c r="P24" s="28">
        <f t="shared" si="12"/>
        <v>2.4077463275473124E-2</v>
      </c>
      <c r="Q24" s="28">
        <f t="shared" si="13"/>
        <v>2.4077463275473124E-2</v>
      </c>
      <c r="R24" s="27">
        <f t="shared" si="14"/>
        <v>89.470829316336477</v>
      </c>
    </row>
    <row r="25" spans="2:18">
      <c r="B25" s="6">
        <v>90.344999999999999</v>
      </c>
      <c r="C25" s="6">
        <v>87.5</v>
      </c>
      <c r="D25" s="7">
        <f t="shared" si="0"/>
        <v>88.922499999999999</v>
      </c>
      <c r="E25" s="18">
        <f t="shared" si="1"/>
        <v>89.44</v>
      </c>
      <c r="F25" s="18">
        <f t="shared" si="2"/>
        <v>99.625</v>
      </c>
      <c r="G25" s="19">
        <f t="shared" si="3"/>
        <v>10.185000000000002</v>
      </c>
      <c r="H25" s="21">
        <f t="shared" si="4"/>
        <v>86.75</v>
      </c>
      <c r="I25" s="22">
        <f>MAX(B18:B25)</f>
        <v>93.405000000000001</v>
      </c>
      <c r="J25" s="20">
        <f t="shared" si="6"/>
        <v>6.6550000000000011</v>
      </c>
      <c r="K25" s="14">
        <f t="shared" si="7"/>
        <v>86.75</v>
      </c>
      <c r="L25" s="14">
        <f t="shared" si="8"/>
        <v>99.625</v>
      </c>
      <c r="M25" s="14">
        <f t="shared" si="9"/>
        <v>12.875</v>
      </c>
      <c r="N25" s="23">
        <f t="shared" si="10"/>
        <v>1.3873197061084532</v>
      </c>
      <c r="O25" s="23">
        <f t="shared" si="11"/>
        <v>1.3873197061084532</v>
      </c>
      <c r="P25" s="28">
        <f t="shared" si="12"/>
        <v>0.16801984811488099</v>
      </c>
      <c r="Q25" s="28">
        <f t="shared" si="13"/>
        <v>0.16801984811488099</v>
      </c>
      <c r="R25" s="27">
        <f t="shared" si="14"/>
        <v>89.378699107888679</v>
      </c>
    </row>
    <row r="26" spans="2:18">
      <c r="B26" s="6">
        <v>88.5</v>
      </c>
      <c r="C26" s="6">
        <v>86.53</v>
      </c>
      <c r="D26" s="7">
        <f t="shared" si="0"/>
        <v>87.515000000000001</v>
      </c>
      <c r="E26" s="18">
        <f t="shared" si="1"/>
        <v>88.814999999999998</v>
      </c>
      <c r="F26" s="18">
        <f t="shared" si="2"/>
        <v>99.625</v>
      </c>
      <c r="G26" s="19">
        <f t="shared" si="3"/>
        <v>10.810000000000002</v>
      </c>
      <c r="H26" s="21">
        <f t="shared" si="4"/>
        <v>86.53</v>
      </c>
      <c r="I26" s="22">
        <f t="shared" si="5"/>
        <v>93.405000000000001</v>
      </c>
      <c r="J26" s="20">
        <f t="shared" si="6"/>
        <v>6.875</v>
      </c>
      <c r="K26" s="14">
        <f t="shared" si="7"/>
        <v>86.53</v>
      </c>
      <c r="L26" s="14">
        <f t="shared" si="8"/>
        <v>99.625</v>
      </c>
      <c r="M26" s="14">
        <f t="shared" si="9"/>
        <v>13.094999999999999</v>
      </c>
      <c r="N26" s="23">
        <f t="shared" si="10"/>
        <v>1.433510159350323</v>
      </c>
      <c r="O26" s="23">
        <f t="shared" si="11"/>
        <v>1.433510159350323</v>
      </c>
      <c r="P26" s="28">
        <f t="shared" si="12"/>
        <v>0.13582498986494215</v>
      </c>
      <c r="Q26" s="28">
        <f t="shared" si="13"/>
        <v>0.13582498986494215</v>
      </c>
      <c r="R26" s="27">
        <f t="shared" si="14"/>
        <v>89.125562195448396</v>
      </c>
    </row>
    <row r="27" spans="2:18">
      <c r="B27" s="6">
        <v>88.25</v>
      </c>
      <c r="C27" s="6">
        <v>84.625</v>
      </c>
      <c r="D27" s="7">
        <f t="shared" si="0"/>
        <v>86.4375</v>
      </c>
      <c r="E27" s="18">
        <f t="shared" si="1"/>
        <v>86.75</v>
      </c>
      <c r="F27" s="18">
        <f t="shared" si="2"/>
        <v>99.625</v>
      </c>
      <c r="G27" s="19">
        <f t="shared" si="3"/>
        <v>12.875</v>
      </c>
      <c r="H27" s="21">
        <f t="shared" si="4"/>
        <v>84.625</v>
      </c>
      <c r="I27" s="22">
        <f t="shared" si="5"/>
        <v>93.405000000000001</v>
      </c>
      <c r="J27" s="20">
        <f t="shared" si="6"/>
        <v>8.7800000000000011</v>
      </c>
      <c r="K27" s="14">
        <f t="shared" si="7"/>
        <v>84.625</v>
      </c>
      <c r="L27" s="14">
        <f t="shared" si="8"/>
        <v>99.625</v>
      </c>
      <c r="M27" s="14">
        <f t="shared" si="9"/>
        <v>15</v>
      </c>
      <c r="N27" s="23">
        <f t="shared" si="10"/>
        <v>1.5297376716843252</v>
      </c>
      <c r="O27" s="23">
        <f t="shared" si="11"/>
        <v>1.5297376716843252</v>
      </c>
      <c r="P27" s="28">
        <f t="shared" si="12"/>
        <v>8.7201640773409431E-2</v>
      </c>
      <c r="Q27" s="28">
        <f t="shared" si="13"/>
        <v>8.7201640773409431E-2</v>
      </c>
      <c r="R27" s="27">
        <f t="shared" si="14"/>
        <v>88.891158761504329</v>
      </c>
    </row>
    <row r="28" spans="2:18">
      <c r="B28" s="6">
        <v>85.5</v>
      </c>
      <c r="C28" s="6">
        <v>82.28</v>
      </c>
      <c r="D28" s="7">
        <f t="shared" si="0"/>
        <v>83.89</v>
      </c>
      <c r="E28" s="18">
        <f t="shared" si="1"/>
        <v>86.75</v>
      </c>
      <c r="F28" s="18">
        <f t="shared" si="2"/>
        <v>99.625</v>
      </c>
      <c r="G28" s="19">
        <f t="shared" si="3"/>
        <v>12.875</v>
      </c>
      <c r="H28" s="21">
        <f t="shared" si="4"/>
        <v>82.28</v>
      </c>
      <c r="I28" s="22">
        <f t="shared" si="5"/>
        <v>93.405000000000001</v>
      </c>
      <c r="J28" s="20">
        <f t="shared" si="6"/>
        <v>11.125</v>
      </c>
      <c r="K28" s="14">
        <f t="shared" si="7"/>
        <v>82.28</v>
      </c>
      <c r="L28" s="14">
        <f t="shared" si="8"/>
        <v>99.625</v>
      </c>
      <c r="M28" s="14">
        <f t="shared" si="9"/>
        <v>17.344999999999999</v>
      </c>
      <c r="N28" s="23">
        <f t="shared" si="10"/>
        <v>1.4685145652094989</v>
      </c>
      <c r="O28" s="23">
        <f t="shared" si="11"/>
        <v>1.4685145652094989</v>
      </c>
      <c r="P28" s="28">
        <f t="shared" si="12"/>
        <v>0.11560346982536644</v>
      </c>
      <c r="Q28" s="28">
        <f t="shared" si="13"/>
        <v>0.11560346982536644</v>
      </c>
      <c r="R28" s="27">
        <f t="shared" si="14"/>
        <v>88.3130074555269</v>
      </c>
    </row>
    <row r="29" spans="2:18">
      <c r="B29" s="6">
        <v>84.44</v>
      </c>
      <c r="C29" s="6">
        <v>81.564999999999998</v>
      </c>
      <c r="D29" s="7">
        <f t="shared" si="0"/>
        <v>83.002499999999998</v>
      </c>
      <c r="E29" s="18">
        <f t="shared" si="1"/>
        <v>86.75</v>
      </c>
      <c r="F29" s="18">
        <f t="shared" si="2"/>
        <v>99.625</v>
      </c>
      <c r="G29" s="19">
        <f t="shared" si="3"/>
        <v>12.875</v>
      </c>
      <c r="H29" s="21">
        <f t="shared" si="4"/>
        <v>81.564999999999998</v>
      </c>
      <c r="I29" s="22">
        <f t="shared" si="5"/>
        <v>92.25</v>
      </c>
      <c r="J29" s="20">
        <f t="shared" si="6"/>
        <v>10.685000000000002</v>
      </c>
      <c r="K29" s="14">
        <f t="shared" si="7"/>
        <v>81.564999999999998</v>
      </c>
      <c r="L29" s="14">
        <f t="shared" si="8"/>
        <v>99.625</v>
      </c>
      <c r="M29" s="14">
        <f t="shared" si="9"/>
        <v>18.060000000000002</v>
      </c>
      <c r="N29" s="23">
        <f t="shared" si="10"/>
        <v>1.3835416463496026</v>
      </c>
      <c r="O29" s="23">
        <f t="shared" si="11"/>
        <v>1.3835416463496026</v>
      </c>
      <c r="P29" s="28">
        <f t="shared" si="12"/>
        <v>0.17096873852185254</v>
      </c>
      <c r="Q29" s="28">
        <f t="shared" si="13"/>
        <v>0.17096873852185254</v>
      </c>
      <c r="R29" s="27">
        <f t="shared" si="14"/>
        <v>87.405076694944569</v>
      </c>
    </row>
    <row r="30" spans="2:18">
      <c r="B30" s="6">
        <v>84.75</v>
      </c>
      <c r="C30" s="6">
        <v>80.875</v>
      </c>
      <c r="D30" s="7">
        <f t="shared" si="0"/>
        <v>82.8125</v>
      </c>
      <c r="E30" s="18">
        <f t="shared" si="1"/>
        <v>86.75</v>
      </c>
      <c r="F30" s="18">
        <f t="shared" si="2"/>
        <v>99.625</v>
      </c>
      <c r="G30" s="19">
        <f t="shared" si="3"/>
        <v>12.875</v>
      </c>
      <c r="H30" s="21">
        <f t="shared" si="4"/>
        <v>80.875</v>
      </c>
      <c r="I30" s="22">
        <f t="shared" si="5"/>
        <v>92.25</v>
      </c>
      <c r="J30" s="20">
        <f t="shared" si="6"/>
        <v>11.375</v>
      </c>
      <c r="K30" s="14">
        <f t="shared" si="7"/>
        <v>80.875</v>
      </c>
      <c r="L30" s="14">
        <f t="shared" si="8"/>
        <v>99.625</v>
      </c>
      <c r="M30" s="14">
        <f t="shared" si="9"/>
        <v>18.75</v>
      </c>
      <c r="N30" s="23">
        <f t="shared" si="10"/>
        <v>1.3710941516912467</v>
      </c>
      <c r="O30" s="23">
        <f t="shared" si="11"/>
        <v>1.3710941516912467</v>
      </c>
      <c r="P30" s="28">
        <f t="shared" si="12"/>
        <v>0.18105548937571891</v>
      </c>
      <c r="Q30" s="28">
        <f t="shared" si="13"/>
        <v>0.18105548937571891</v>
      </c>
      <c r="R30" s="27">
        <f t="shared" si="14"/>
        <v>86.573565473945862</v>
      </c>
    </row>
    <row r="31" spans="2:18">
      <c r="B31" s="6">
        <v>84.44</v>
      </c>
      <c r="C31" s="6">
        <v>81.25</v>
      </c>
      <c r="D31" s="7">
        <f t="shared" si="0"/>
        <v>82.844999999999999</v>
      </c>
      <c r="E31" s="18">
        <f t="shared" si="1"/>
        <v>86.75</v>
      </c>
      <c r="F31" s="18">
        <f t="shared" si="2"/>
        <v>99.625</v>
      </c>
      <c r="G31" s="19">
        <f t="shared" si="3"/>
        <v>12.875</v>
      </c>
      <c r="H31" s="21">
        <f t="shared" si="4"/>
        <v>80.875</v>
      </c>
      <c r="I31" s="22">
        <f t="shared" si="5"/>
        <v>92.25</v>
      </c>
      <c r="J31" s="20">
        <f t="shared" si="6"/>
        <v>11.375</v>
      </c>
      <c r="K31" s="14">
        <f t="shared" si="7"/>
        <v>80.875</v>
      </c>
      <c r="L31" s="14">
        <f t="shared" si="8"/>
        <v>99.625</v>
      </c>
      <c r="M31" s="14">
        <f t="shared" si="9"/>
        <v>18.75</v>
      </c>
      <c r="N31" s="23">
        <f t="shared" si="10"/>
        <v>1.3710941516912467</v>
      </c>
      <c r="O31" s="23">
        <f t="shared" si="11"/>
        <v>1.3710941516912467</v>
      </c>
      <c r="P31" s="28">
        <f t="shared" si="12"/>
        <v>0.18105548937571891</v>
      </c>
      <c r="Q31" s="28">
        <f t="shared" si="13"/>
        <v>0.18105548937571891</v>
      </c>
      <c r="R31" s="27">
        <f t="shared" si="14"/>
        <v>85.898488227391184</v>
      </c>
    </row>
    <row r="32" spans="2:18">
      <c r="B32" s="6">
        <v>89.405000000000001</v>
      </c>
      <c r="C32" s="6">
        <v>84.064999999999998</v>
      </c>
      <c r="D32" s="7">
        <f t="shared" si="0"/>
        <v>86.734999999999999</v>
      </c>
      <c r="E32" s="18">
        <f t="shared" si="1"/>
        <v>86.75</v>
      </c>
      <c r="F32" s="18">
        <f t="shared" si="2"/>
        <v>99.125</v>
      </c>
      <c r="G32" s="19">
        <f t="shared" si="3"/>
        <v>12.375</v>
      </c>
      <c r="H32" s="21">
        <f t="shared" si="4"/>
        <v>80.875</v>
      </c>
      <c r="I32" s="22">
        <f t="shared" si="5"/>
        <v>90.344999999999999</v>
      </c>
      <c r="J32" s="20">
        <f t="shared" si="6"/>
        <v>9.4699999999999989</v>
      </c>
      <c r="K32" s="14">
        <f t="shared" si="7"/>
        <v>80.875</v>
      </c>
      <c r="L32" s="14">
        <f t="shared" si="8"/>
        <v>99.125</v>
      </c>
      <c r="M32" s="14">
        <f t="shared" si="9"/>
        <v>18.25</v>
      </c>
      <c r="N32" s="23">
        <f t="shared" si="10"/>
        <v>1.2594066417894758</v>
      </c>
      <c r="O32" s="23">
        <f t="shared" si="11"/>
        <v>1.2594066417894758</v>
      </c>
      <c r="P32" s="28">
        <f t="shared" si="12"/>
        <v>0.30282150701343902</v>
      </c>
      <c r="Q32" s="28">
        <f t="shared" si="13"/>
        <v>0.30282150701343902</v>
      </c>
      <c r="R32" s="27">
        <f t="shared" si="14"/>
        <v>86.151801983007061</v>
      </c>
    </row>
    <row r="33" spans="2:18">
      <c r="B33" s="6">
        <v>88.125</v>
      </c>
      <c r="C33" s="6">
        <v>85.594999999999999</v>
      </c>
      <c r="D33" s="7">
        <f t="shared" si="0"/>
        <v>86.86</v>
      </c>
      <c r="E33" s="18">
        <f t="shared" si="1"/>
        <v>86.75</v>
      </c>
      <c r="F33" s="18">
        <f t="shared" si="2"/>
        <v>93.405000000000001</v>
      </c>
      <c r="G33" s="19">
        <f t="shared" si="3"/>
        <v>6.6550000000000011</v>
      </c>
      <c r="H33" s="21">
        <f t="shared" si="4"/>
        <v>80.875</v>
      </c>
      <c r="I33" s="22">
        <f t="shared" si="5"/>
        <v>89.405000000000001</v>
      </c>
      <c r="J33" s="20">
        <f t="shared" si="6"/>
        <v>8.5300000000000011</v>
      </c>
      <c r="K33" s="14">
        <f t="shared" si="7"/>
        <v>80.875</v>
      </c>
      <c r="L33" s="14">
        <f t="shared" si="8"/>
        <v>93.405000000000001</v>
      </c>
      <c r="M33" s="14">
        <f t="shared" si="9"/>
        <v>12.530000000000001</v>
      </c>
      <c r="N33" s="23">
        <f t="shared" si="10"/>
        <v>1.2772604938455994</v>
      </c>
      <c r="O33" s="23">
        <f t="shared" si="11"/>
        <v>1.2772604938455994</v>
      </c>
      <c r="P33" s="28">
        <f t="shared" si="12"/>
        <v>0.27891958625574481</v>
      </c>
      <c r="Q33" s="28">
        <f t="shared" si="13"/>
        <v>0.27891958625574481</v>
      </c>
      <c r="R33" s="27">
        <f t="shared" si="14"/>
        <v>86.349332280893876</v>
      </c>
    </row>
    <row r="34" spans="2:18">
      <c r="B34" s="6">
        <v>89.125</v>
      </c>
      <c r="C34" s="6">
        <v>85.97</v>
      </c>
      <c r="D34" s="7">
        <f t="shared" si="0"/>
        <v>87.547499999999999</v>
      </c>
      <c r="E34" s="18">
        <f t="shared" si="1"/>
        <v>86.53</v>
      </c>
      <c r="F34" s="18">
        <f t="shared" si="2"/>
        <v>93.405000000000001</v>
      </c>
      <c r="G34" s="19">
        <f t="shared" si="3"/>
        <v>6.875</v>
      </c>
      <c r="H34" s="21">
        <f t="shared" si="4"/>
        <v>80.875</v>
      </c>
      <c r="I34" s="22">
        <f t="shared" si="5"/>
        <v>89.405000000000001</v>
      </c>
      <c r="J34" s="20">
        <f t="shared" si="6"/>
        <v>8.5300000000000011</v>
      </c>
      <c r="K34" s="14">
        <f t="shared" si="7"/>
        <v>80.875</v>
      </c>
      <c r="L34" s="14">
        <f t="shared" si="8"/>
        <v>93.405000000000001</v>
      </c>
      <c r="M34" s="14">
        <f t="shared" si="9"/>
        <v>12.530000000000001</v>
      </c>
      <c r="N34" s="23">
        <f t="shared" si="10"/>
        <v>1.2980122677174908</v>
      </c>
      <c r="O34" s="23">
        <f t="shared" si="11"/>
        <v>1.2980122677174908</v>
      </c>
      <c r="P34" s="28">
        <f t="shared" si="12"/>
        <v>0.25349854126369809</v>
      </c>
      <c r="Q34" s="28">
        <f t="shared" si="13"/>
        <v>0.25349854126369809</v>
      </c>
      <c r="R34" s="27">
        <f t="shared" si="14"/>
        <v>86.653066049876529</v>
      </c>
    </row>
    <row r="35" spans="2:18">
      <c r="B35" s="6">
        <v>87.155000000000001</v>
      </c>
      <c r="C35" s="6">
        <v>84.405000000000001</v>
      </c>
      <c r="D35" s="7">
        <f t="shared" si="0"/>
        <v>85.78</v>
      </c>
      <c r="E35" s="18">
        <f t="shared" si="1"/>
        <v>84.625</v>
      </c>
      <c r="F35" s="18">
        <f t="shared" si="2"/>
        <v>93.405000000000001</v>
      </c>
      <c r="G35" s="19">
        <f t="shared" si="3"/>
        <v>8.7800000000000011</v>
      </c>
      <c r="H35" s="21">
        <f t="shared" si="4"/>
        <v>80.875</v>
      </c>
      <c r="I35" s="22">
        <f t="shared" si="5"/>
        <v>89.405000000000001</v>
      </c>
      <c r="J35" s="20">
        <f t="shared" si="6"/>
        <v>8.5300000000000011</v>
      </c>
      <c r="K35" s="14">
        <f t="shared" si="7"/>
        <v>80.875</v>
      </c>
      <c r="L35" s="14">
        <f t="shared" si="8"/>
        <v>93.405000000000001</v>
      </c>
      <c r="M35" s="14">
        <f t="shared" si="9"/>
        <v>12.530000000000001</v>
      </c>
      <c r="N35" s="23">
        <f t="shared" si="10"/>
        <v>1.466219310044778</v>
      </c>
      <c r="O35" s="23">
        <f t="shared" si="11"/>
        <v>1.466219310044778</v>
      </c>
      <c r="P35" s="28">
        <f t="shared" si="12"/>
        <v>0.11683188395769718</v>
      </c>
      <c r="Q35" s="28">
        <f t="shared" si="13"/>
        <v>0.11683188395769718</v>
      </c>
      <c r="R35" s="27">
        <f t="shared" si="14"/>
        <v>86.551064098449956</v>
      </c>
    </row>
    <row r="36" spans="2:18">
      <c r="B36" s="6">
        <v>87.25</v>
      </c>
      <c r="C36" s="6">
        <v>85.094999999999999</v>
      </c>
      <c r="D36" s="7">
        <f t="shared" si="0"/>
        <v>86.172499999999999</v>
      </c>
      <c r="E36" s="18">
        <f t="shared" si="1"/>
        <v>82.28</v>
      </c>
      <c r="F36" s="18">
        <f t="shared" si="2"/>
        <v>93.405000000000001</v>
      </c>
      <c r="G36" s="19">
        <f t="shared" si="3"/>
        <v>11.125</v>
      </c>
      <c r="H36" s="21">
        <f t="shared" si="4"/>
        <v>80.875</v>
      </c>
      <c r="I36" s="22">
        <f t="shared" si="5"/>
        <v>89.405000000000001</v>
      </c>
      <c r="J36" s="20">
        <f t="shared" si="6"/>
        <v>8.5300000000000011</v>
      </c>
      <c r="K36" s="14">
        <f t="shared" si="7"/>
        <v>80.875</v>
      </c>
      <c r="L36" s="14">
        <f t="shared" si="8"/>
        <v>93.405000000000001</v>
      </c>
      <c r="M36" s="14">
        <f t="shared" si="9"/>
        <v>12.530000000000001</v>
      </c>
      <c r="N36" s="23">
        <f t="shared" si="10"/>
        <v>1.6495099491022336</v>
      </c>
      <c r="O36" s="23">
        <f t="shared" si="11"/>
        <v>1.6495099491022336</v>
      </c>
      <c r="P36" s="28">
        <f t="shared" si="12"/>
        <v>5.0231957406400483E-2</v>
      </c>
      <c r="Q36" s="28">
        <f t="shared" si="13"/>
        <v>5.0231957406400483E-2</v>
      </c>
      <c r="R36" s="27">
        <f t="shared" si="14"/>
        <v>86.532048082781031</v>
      </c>
    </row>
    <row r="37" spans="2:18">
      <c r="B37" s="6">
        <v>87.375</v>
      </c>
      <c r="C37" s="6">
        <v>85.5</v>
      </c>
      <c r="D37" s="7">
        <f t="shared" si="0"/>
        <v>86.4375</v>
      </c>
      <c r="E37" s="18">
        <f t="shared" si="1"/>
        <v>81.564999999999998</v>
      </c>
      <c r="F37" s="18">
        <f t="shared" si="2"/>
        <v>92.25</v>
      </c>
      <c r="G37" s="19">
        <f t="shared" si="3"/>
        <v>10.685000000000002</v>
      </c>
      <c r="H37" s="21">
        <f t="shared" si="4"/>
        <v>80.875</v>
      </c>
      <c r="I37" s="22">
        <f t="shared" si="5"/>
        <v>89.405000000000001</v>
      </c>
      <c r="J37" s="20">
        <f t="shared" si="6"/>
        <v>8.5300000000000011</v>
      </c>
      <c r="K37" s="14">
        <f t="shared" si="7"/>
        <v>80.875</v>
      </c>
      <c r="L37" s="14">
        <f t="shared" si="8"/>
        <v>92.25</v>
      </c>
      <c r="M37" s="14">
        <f t="shared" si="9"/>
        <v>11.375</v>
      </c>
      <c r="N37" s="23">
        <f t="shared" si="10"/>
        <v>1.7563664310893821</v>
      </c>
      <c r="O37" s="23">
        <f t="shared" si="11"/>
        <v>1.7563664310893821</v>
      </c>
      <c r="P37" s="28">
        <f t="shared" si="12"/>
        <v>3.0709103477457467E-2</v>
      </c>
      <c r="Q37" s="28">
        <f t="shared" si="13"/>
        <v>3.0709103477457467E-2</v>
      </c>
      <c r="R37" s="27">
        <f t="shared" si="14"/>
        <v>86.529144595923313</v>
      </c>
    </row>
    <row r="38" spans="2:18">
      <c r="B38" s="6">
        <v>88.97</v>
      </c>
      <c r="C38" s="6">
        <v>85.53</v>
      </c>
      <c r="D38" s="7">
        <f t="shared" si="0"/>
        <v>87.25</v>
      </c>
      <c r="E38" s="18">
        <f t="shared" si="1"/>
        <v>80.875</v>
      </c>
      <c r="F38" s="18">
        <f t="shared" si="2"/>
        <v>92.25</v>
      </c>
      <c r="G38" s="19">
        <f t="shared" si="3"/>
        <v>11.375</v>
      </c>
      <c r="H38" s="21">
        <f t="shared" si="4"/>
        <v>81.25</v>
      </c>
      <c r="I38" s="22">
        <f t="shared" si="5"/>
        <v>89.405000000000001</v>
      </c>
      <c r="J38" s="20">
        <f t="shared" si="6"/>
        <v>8.1550000000000011</v>
      </c>
      <c r="K38" s="14">
        <f t="shared" si="7"/>
        <v>80.875</v>
      </c>
      <c r="L38" s="14">
        <f t="shared" si="8"/>
        <v>92.25</v>
      </c>
      <c r="M38" s="14">
        <f t="shared" si="9"/>
        <v>11.375</v>
      </c>
      <c r="N38" s="23">
        <f t="shared" si="10"/>
        <v>1.779825403913371</v>
      </c>
      <c r="O38" s="23">
        <f t="shared" si="11"/>
        <v>1.779825403913371</v>
      </c>
      <c r="P38" s="28">
        <f t="shared" si="12"/>
        <v>2.7564441168360425E-2</v>
      </c>
      <c r="Q38" s="28">
        <f t="shared" si="13"/>
        <v>2.7564441168360425E-2</v>
      </c>
      <c r="R38" s="27">
        <f t="shared" si="14"/>
        <v>86.549014572299882</v>
      </c>
    </row>
    <row r="39" spans="2:18">
      <c r="B39" s="6">
        <v>90</v>
      </c>
      <c r="C39" s="6">
        <v>87.875</v>
      </c>
      <c r="D39" s="7">
        <f t="shared" si="0"/>
        <v>88.9375</v>
      </c>
      <c r="E39" s="18">
        <f t="shared" si="1"/>
        <v>80.875</v>
      </c>
      <c r="F39" s="18">
        <f t="shared" si="2"/>
        <v>92.25</v>
      </c>
      <c r="G39" s="19">
        <f t="shared" si="3"/>
        <v>11.375</v>
      </c>
      <c r="H39" s="21">
        <f t="shared" si="4"/>
        <v>84.064999999999998</v>
      </c>
      <c r="I39" s="22">
        <f t="shared" si="5"/>
        <v>90</v>
      </c>
      <c r="J39" s="20">
        <f t="shared" si="6"/>
        <v>5.9350000000000023</v>
      </c>
      <c r="K39" s="14">
        <f t="shared" si="7"/>
        <v>80.875</v>
      </c>
      <c r="L39" s="14">
        <f t="shared" si="8"/>
        <v>92.25</v>
      </c>
      <c r="M39" s="14">
        <f t="shared" si="9"/>
        <v>11.375</v>
      </c>
      <c r="N39" s="23">
        <f t="shared" si="10"/>
        <v>1.6057391793932179</v>
      </c>
      <c r="O39" s="23">
        <f t="shared" si="11"/>
        <v>1.6057391793932179</v>
      </c>
      <c r="P39" s="28">
        <f t="shared" si="12"/>
        <v>6.1449965191261294E-2</v>
      </c>
      <c r="Q39" s="28">
        <f t="shared" si="13"/>
        <v>6.1449965191261294E-2</v>
      </c>
      <c r="R39" s="27">
        <f t="shared" si="14"/>
        <v>86.695786918691894</v>
      </c>
    </row>
    <row r="40" spans="2:18">
      <c r="B40" s="6">
        <v>89.844999999999999</v>
      </c>
      <c r="C40" s="6">
        <v>86.564999999999998</v>
      </c>
      <c r="D40" s="7">
        <f t="shared" si="0"/>
        <v>88.204999999999998</v>
      </c>
      <c r="E40" s="18">
        <f t="shared" si="1"/>
        <v>80.875</v>
      </c>
      <c r="F40" s="18">
        <f t="shared" si="2"/>
        <v>90.344999999999999</v>
      </c>
      <c r="G40" s="19">
        <f t="shared" si="3"/>
        <v>9.4699999999999989</v>
      </c>
      <c r="H40" s="21">
        <f t="shared" si="4"/>
        <v>84.405000000000001</v>
      </c>
      <c r="I40" s="22">
        <f t="shared" si="5"/>
        <v>90</v>
      </c>
      <c r="J40" s="20">
        <f t="shared" si="6"/>
        <v>5.5949999999999989</v>
      </c>
      <c r="K40" s="14">
        <f t="shared" si="7"/>
        <v>80.875</v>
      </c>
      <c r="L40" s="14">
        <f t="shared" si="8"/>
        <v>90.344999999999999</v>
      </c>
      <c r="M40" s="14">
        <f t="shared" si="9"/>
        <v>9.4699999999999989</v>
      </c>
      <c r="N40" s="23">
        <f t="shared" si="10"/>
        <v>1.6697643421260784</v>
      </c>
      <c r="O40" s="23">
        <f t="shared" si="11"/>
        <v>1.6697643421260784</v>
      </c>
      <c r="P40" s="28">
        <f t="shared" si="12"/>
        <v>4.5758451137781833E-2</v>
      </c>
      <c r="Q40" s="28">
        <f t="shared" si="13"/>
        <v>4.5758451137781833E-2</v>
      </c>
      <c r="R40" s="27">
        <f t="shared" si="14"/>
        <v>86.764846171729431</v>
      </c>
    </row>
    <row r="41" spans="2:18">
      <c r="B41" s="6">
        <v>86.97</v>
      </c>
      <c r="C41" s="6">
        <v>84.655000000000001</v>
      </c>
      <c r="D41" s="7">
        <f t="shared" si="0"/>
        <v>85.8125</v>
      </c>
      <c r="E41" s="18">
        <f t="shared" si="1"/>
        <v>80.875</v>
      </c>
      <c r="F41" s="18">
        <f t="shared" si="2"/>
        <v>89.405000000000001</v>
      </c>
      <c r="G41" s="19">
        <f t="shared" si="3"/>
        <v>8.5300000000000011</v>
      </c>
      <c r="H41" s="21">
        <f t="shared" si="4"/>
        <v>84.405000000000001</v>
      </c>
      <c r="I41" s="22">
        <f t="shared" si="5"/>
        <v>90</v>
      </c>
      <c r="J41" s="20">
        <f t="shared" si="6"/>
        <v>5.5949999999999989</v>
      </c>
      <c r="K41" s="14">
        <f t="shared" si="7"/>
        <v>80.875</v>
      </c>
      <c r="L41" s="14">
        <f t="shared" si="8"/>
        <v>90</v>
      </c>
      <c r="M41" s="14">
        <f t="shared" si="9"/>
        <v>9.125</v>
      </c>
      <c r="N41" s="23">
        <f t="shared" si="10"/>
        <v>1.6303544035351707</v>
      </c>
      <c r="O41" s="23">
        <f t="shared" si="11"/>
        <v>1.6303544035351707</v>
      </c>
      <c r="P41" s="28">
        <f t="shared" si="12"/>
        <v>5.486447059770936E-2</v>
      </c>
      <c r="Q41" s="28">
        <f t="shared" si="13"/>
        <v>5.486447059770936E-2</v>
      </c>
      <c r="R41" s="27">
        <f t="shared" si="14"/>
        <v>86.712596203191737</v>
      </c>
    </row>
    <row r="42" spans="2:18">
      <c r="B42" s="6">
        <v>85.94</v>
      </c>
      <c r="C42" s="6">
        <v>83.25</v>
      </c>
      <c r="D42" s="7">
        <f t="shared" si="0"/>
        <v>84.594999999999999</v>
      </c>
      <c r="E42" s="18">
        <f t="shared" si="1"/>
        <v>80.875</v>
      </c>
      <c r="F42" s="18">
        <f t="shared" si="2"/>
        <v>89.405000000000001</v>
      </c>
      <c r="G42" s="19">
        <f t="shared" si="3"/>
        <v>8.5300000000000011</v>
      </c>
      <c r="H42" s="21">
        <f t="shared" si="4"/>
        <v>83.25</v>
      </c>
      <c r="I42" s="22">
        <f t="shared" si="5"/>
        <v>90</v>
      </c>
      <c r="J42" s="20">
        <f t="shared" si="6"/>
        <v>6.75</v>
      </c>
      <c r="K42" s="14">
        <f t="shared" si="7"/>
        <v>80.875</v>
      </c>
      <c r="L42" s="14">
        <f t="shared" si="8"/>
        <v>90</v>
      </c>
      <c r="M42" s="14">
        <f t="shared" si="9"/>
        <v>9.125</v>
      </c>
      <c r="N42" s="23">
        <f t="shared" si="10"/>
        <v>1.7437480793810067</v>
      </c>
      <c r="O42" s="23">
        <f t="shared" si="11"/>
        <v>1.7437480793810067</v>
      </c>
      <c r="P42" s="28">
        <f t="shared" si="12"/>
        <v>3.2546466214777983E-2</v>
      </c>
      <c r="Q42" s="28">
        <f t="shared" si="13"/>
        <v>3.2546466214777983E-2</v>
      </c>
      <c r="R42" s="27">
        <f t="shared" si="14"/>
        <v>86.643675929908014</v>
      </c>
    </row>
    <row r="43" spans="2:18">
      <c r="B43" s="6">
        <v>84.75</v>
      </c>
      <c r="C43" s="6">
        <v>82.564999999999998</v>
      </c>
      <c r="D43" s="7">
        <f t="shared" si="0"/>
        <v>83.657499999999999</v>
      </c>
      <c r="E43" s="18">
        <f t="shared" si="1"/>
        <v>80.875</v>
      </c>
      <c r="F43" s="18">
        <f t="shared" si="2"/>
        <v>89.405000000000001</v>
      </c>
      <c r="G43" s="19">
        <f t="shared" si="3"/>
        <v>8.5300000000000011</v>
      </c>
      <c r="H43" s="21">
        <f t="shared" si="4"/>
        <v>82.564999999999998</v>
      </c>
      <c r="I43" s="22">
        <f t="shared" si="5"/>
        <v>90</v>
      </c>
      <c r="J43" s="20">
        <f t="shared" si="6"/>
        <v>7.4350000000000023</v>
      </c>
      <c r="K43" s="14">
        <f t="shared" si="7"/>
        <v>80.875</v>
      </c>
      <c r="L43" s="14">
        <f t="shared" si="8"/>
        <v>90</v>
      </c>
      <c r="M43" s="14">
        <f t="shared" si="9"/>
        <v>9.125</v>
      </c>
      <c r="N43" s="23">
        <f t="shared" si="10"/>
        <v>1.8070160889153519</v>
      </c>
      <c r="O43" s="23">
        <f t="shared" si="11"/>
        <v>1.8070160889153519</v>
      </c>
      <c r="P43" s="28">
        <f t="shared" si="12"/>
        <v>2.4320238084200353E-2</v>
      </c>
      <c r="Q43" s="28">
        <f t="shared" si="13"/>
        <v>2.4320238084200353E-2</v>
      </c>
      <c r="R43" s="27">
        <f t="shared" si="14"/>
        <v>86.571051420331344</v>
      </c>
    </row>
    <row r="44" spans="2:18">
      <c r="B44" s="6">
        <v>85.47</v>
      </c>
      <c r="C44" s="6">
        <v>83.44</v>
      </c>
      <c r="D44" s="7">
        <f t="shared" si="0"/>
        <v>84.454999999999998</v>
      </c>
      <c r="E44" s="18">
        <f t="shared" si="1"/>
        <v>80.875</v>
      </c>
      <c r="F44" s="18">
        <f t="shared" si="2"/>
        <v>89.405000000000001</v>
      </c>
      <c r="G44" s="19">
        <f t="shared" si="3"/>
        <v>8.5300000000000011</v>
      </c>
      <c r="H44" s="21">
        <f t="shared" si="4"/>
        <v>82.564999999999998</v>
      </c>
      <c r="I44" s="22">
        <f t="shared" si="5"/>
        <v>90</v>
      </c>
      <c r="J44" s="20">
        <f t="shared" si="6"/>
        <v>7.4350000000000023</v>
      </c>
      <c r="K44" s="14">
        <f t="shared" si="7"/>
        <v>80.875</v>
      </c>
      <c r="L44" s="14">
        <f t="shared" si="8"/>
        <v>90</v>
      </c>
      <c r="M44" s="14">
        <f t="shared" si="9"/>
        <v>9.125</v>
      </c>
      <c r="N44" s="23">
        <f t="shared" si="10"/>
        <v>1.8070160889153519</v>
      </c>
      <c r="O44" s="23">
        <f t="shared" si="11"/>
        <v>1.8070160889153519</v>
      </c>
      <c r="P44" s="28">
        <f t="shared" si="12"/>
        <v>2.4320238084200353E-2</v>
      </c>
      <c r="Q44" s="28">
        <f t="shared" si="13"/>
        <v>2.4320238084200353E-2</v>
      </c>
      <c r="R44" s="27">
        <f t="shared" si="14"/>
        <v>86.519588545990473</v>
      </c>
    </row>
    <row r="45" spans="2:18">
      <c r="B45" s="6">
        <v>84.47</v>
      </c>
      <c r="C45" s="6">
        <v>82.53</v>
      </c>
      <c r="D45" s="7">
        <f t="shared" si="0"/>
        <v>83.5</v>
      </c>
      <c r="E45" s="18">
        <f t="shared" si="1"/>
        <v>80.875</v>
      </c>
      <c r="F45" s="18">
        <f t="shared" si="2"/>
        <v>89.405000000000001</v>
      </c>
      <c r="G45" s="19">
        <f t="shared" si="3"/>
        <v>8.5300000000000011</v>
      </c>
      <c r="H45" s="21">
        <f t="shared" si="4"/>
        <v>82.53</v>
      </c>
      <c r="I45" s="22">
        <f t="shared" si="5"/>
        <v>90</v>
      </c>
      <c r="J45" s="20">
        <f t="shared" si="6"/>
        <v>7.4699999999999989</v>
      </c>
      <c r="K45" s="14">
        <f t="shared" si="7"/>
        <v>80.875</v>
      </c>
      <c r="L45" s="14">
        <f t="shared" si="8"/>
        <v>90</v>
      </c>
      <c r="M45" s="14">
        <f t="shared" si="9"/>
        <v>9.125</v>
      </c>
      <c r="N45" s="23">
        <f t="shared" si="10"/>
        <v>1.8101754411199829</v>
      </c>
      <c r="O45" s="23">
        <f t="shared" si="11"/>
        <v>1.8101754411199829</v>
      </c>
      <c r="P45" s="28">
        <f t="shared" si="12"/>
        <v>2.3968955977515326E-2</v>
      </c>
      <c r="Q45" s="28">
        <f t="shared" si="13"/>
        <v>2.3968955977515326E-2</v>
      </c>
      <c r="R45" s="27">
        <f t="shared" si="14"/>
        <v>86.447212161061415</v>
      </c>
    </row>
    <row r="46" spans="2:18">
      <c r="B46" s="6">
        <v>88.5</v>
      </c>
      <c r="C46" s="6">
        <v>85.064999999999998</v>
      </c>
      <c r="D46" s="7">
        <f t="shared" si="0"/>
        <v>86.782499999999999</v>
      </c>
      <c r="E46" s="18">
        <f t="shared" si="1"/>
        <v>81.25</v>
      </c>
      <c r="F46" s="18">
        <f t="shared" si="2"/>
        <v>89.405000000000001</v>
      </c>
      <c r="G46" s="19">
        <f t="shared" si="3"/>
        <v>8.1550000000000011</v>
      </c>
      <c r="H46" s="21">
        <f t="shared" si="4"/>
        <v>82.53</v>
      </c>
      <c r="I46" s="22">
        <f t="shared" si="5"/>
        <v>90</v>
      </c>
      <c r="J46" s="20">
        <f t="shared" si="6"/>
        <v>7.4699999999999989</v>
      </c>
      <c r="K46" s="14">
        <f t="shared" si="7"/>
        <v>81.25</v>
      </c>
      <c r="L46" s="14">
        <f t="shared" si="8"/>
        <v>90</v>
      </c>
      <c r="M46" s="14">
        <f t="shared" si="9"/>
        <v>8.75</v>
      </c>
      <c r="N46" s="23">
        <f t="shared" si="10"/>
        <v>1.8365012677171209</v>
      </c>
      <c r="O46" s="23">
        <f t="shared" si="11"/>
        <v>1.8365012677171209</v>
      </c>
      <c r="P46" s="28">
        <f t="shared" si="12"/>
        <v>2.1232320664225129E-2</v>
      </c>
      <c r="Q46" s="28">
        <f t="shared" si="13"/>
        <v>2.1232320664225129E-2</v>
      </c>
      <c r="R46" s="27">
        <f t="shared" si="14"/>
        <v>86.454331099972578</v>
      </c>
    </row>
    <row r="47" spans="2:18">
      <c r="B47" s="6">
        <v>89.47</v>
      </c>
      <c r="C47" s="6">
        <v>86.875</v>
      </c>
      <c r="D47" s="7">
        <f t="shared" si="0"/>
        <v>88.172499999999999</v>
      </c>
      <c r="E47" s="18">
        <f t="shared" si="1"/>
        <v>84.064999999999998</v>
      </c>
      <c r="F47" s="18">
        <f t="shared" si="2"/>
        <v>90</v>
      </c>
      <c r="G47" s="19">
        <f t="shared" si="3"/>
        <v>5.9350000000000023</v>
      </c>
      <c r="H47" s="21">
        <f t="shared" si="4"/>
        <v>82.53</v>
      </c>
      <c r="I47" s="22">
        <f t="shared" si="5"/>
        <v>89.844999999999999</v>
      </c>
      <c r="J47" s="20">
        <f t="shared" si="6"/>
        <v>7.3149999999999977</v>
      </c>
      <c r="K47" s="14">
        <f t="shared" si="7"/>
        <v>82.53</v>
      </c>
      <c r="L47" s="14">
        <f t="shared" si="8"/>
        <v>90</v>
      </c>
      <c r="M47" s="14">
        <f t="shared" si="9"/>
        <v>7.4699999999999989</v>
      </c>
      <c r="N47" s="23">
        <f t="shared" si="10"/>
        <v>1.8268122115486871</v>
      </c>
      <c r="O47" s="23">
        <f t="shared" si="11"/>
        <v>1.8268122115486871</v>
      </c>
      <c r="P47" s="28">
        <f t="shared" si="12"/>
        <v>2.2201155408397864E-2</v>
      </c>
      <c r="Q47" s="28">
        <f t="shared" si="13"/>
        <v>2.2201155408397864E-2</v>
      </c>
      <c r="R47" s="27">
        <f t="shared" si="14"/>
        <v>86.492476434739956</v>
      </c>
    </row>
    <row r="48" spans="2:18">
      <c r="B48" s="6">
        <v>90</v>
      </c>
      <c r="C48" s="6">
        <v>88.53</v>
      </c>
      <c r="D48" s="7">
        <f t="shared" si="0"/>
        <v>89.265000000000001</v>
      </c>
      <c r="E48" s="18">
        <f t="shared" si="1"/>
        <v>84.405000000000001</v>
      </c>
      <c r="F48" s="18">
        <f t="shared" si="2"/>
        <v>90</v>
      </c>
      <c r="G48" s="19">
        <f t="shared" si="3"/>
        <v>5.5949999999999989</v>
      </c>
      <c r="H48" s="21">
        <f t="shared" si="4"/>
        <v>82.53</v>
      </c>
      <c r="I48" s="22">
        <f t="shared" si="5"/>
        <v>90</v>
      </c>
      <c r="J48" s="20">
        <f t="shared" si="6"/>
        <v>7.4699999999999989</v>
      </c>
      <c r="K48" s="14">
        <f t="shared" si="7"/>
        <v>82.53</v>
      </c>
      <c r="L48" s="14">
        <f t="shared" si="8"/>
        <v>90</v>
      </c>
      <c r="M48" s="14">
        <f t="shared" si="9"/>
        <v>7.4699999999999989</v>
      </c>
      <c r="N48" s="23">
        <f t="shared" si="10"/>
        <v>1.8065269765307836</v>
      </c>
      <c r="O48" s="23">
        <f t="shared" si="11"/>
        <v>1.8065269765307836</v>
      </c>
      <c r="P48" s="28">
        <f t="shared" si="12"/>
        <v>2.437507984247967E-2</v>
      </c>
      <c r="Q48" s="28">
        <f t="shared" si="13"/>
        <v>2.437507984247967E-2</v>
      </c>
      <c r="R48" s="27">
        <f t="shared" si="14"/>
        <v>86.560056918008328</v>
      </c>
    </row>
    <row r="49" spans="2:18">
      <c r="B49" s="6">
        <v>92.44</v>
      </c>
      <c r="C49" s="6">
        <v>89.28</v>
      </c>
      <c r="D49" s="7">
        <f t="shared" si="0"/>
        <v>90.86</v>
      </c>
      <c r="E49" s="18">
        <f t="shared" si="1"/>
        <v>84.405000000000001</v>
      </c>
      <c r="F49" s="18">
        <f t="shared" si="2"/>
        <v>90</v>
      </c>
      <c r="G49" s="19">
        <f t="shared" si="3"/>
        <v>5.5949999999999989</v>
      </c>
      <c r="H49" s="21">
        <f t="shared" si="4"/>
        <v>82.53</v>
      </c>
      <c r="I49" s="22">
        <f t="shared" si="5"/>
        <v>92.44</v>
      </c>
      <c r="J49" s="20">
        <f t="shared" si="6"/>
        <v>9.9099999999999966</v>
      </c>
      <c r="K49" s="14">
        <f t="shared" si="7"/>
        <v>82.53</v>
      </c>
      <c r="L49" s="14">
        <f t="shared" si="8"/>
        <v>92.44</v>
      </c>
      <c r="M49" s="14">
        <f t="shared" si="9"/>
        <v>9.9099999999999966</v>
      </c>
      <c r="N49" s="23">
        <f t="shared" si="10"/>
        <v>1.6457765634261345</v>
      </c>
      <c r="O49" s="23">
        <f t="shared" si="11"/>
        <v>1.6457765634261345</v>
      </c>
      <c r="P49" s="28">
        <f t="shared" si="12"/>
        <v>5.11030561305948E-2</v>
      </c>
      <c r="Q49" s="28">
        <f t="shared" si="13"/>
        <v>5.11030561305948E-2</v>
      </c>
      <c r="R49" s="27">
        <f t="shared" si="14"/>
        <v>86.77979715068571</v>
      </c>
    </row>
    <row r="50" spans="2:18">
      <c r="B50" s="6">
        <v>91.44</v>
      </c>
      <c r="C50" s="6">
        <v>90.125</v>
      </c>
      <c r="D50" s="7">
        <f t="shared" si="0"/>
        <v>90.782499999999999</v>
      </c>
      <c r="E50" s="18">
        <f t="shared" si="1"/>
        <v>83.25</v>
      </c>
      <c r="F50" s="18">
        <f t="shared" si="2"/>
        <v>90</v>
      </c>
      <c r="G50" s="19">
        <f t="shared" si="3"/>
        <v>6.75</v>
      </c>
      <c r="H50" s="21">
        <f t="shared" si="4"/>
        <v>82.53</v>
      </c>
      <c r="I50" s="22">
        <f t="shared" si="5"/>
        <v>92.44</v>
      </c>
      <c r="J50" s="20">
        <f t="shared" si="6"/>
        <v>9.9099999999999966</v>
      </c>
      <c r="K50" s="14">
        <f t="shared" si="7"/>
        <v>82.53</v>
      </c>
      <c r="L50" s="14">
        <f t="shared" si="8"/>
        <v>92.44</v>
      </c>
      <c r="M50" s="14">
        <f t="shared" si="9"/>
        <v>9.9099999999999966</v>
      </c>
      <c r="N50" s="23">
        <f t="shared" si="10"/>
        <v>1.7494314381790597</v>
      </c>
      <c r="O50" s="23">
        <f t="shared" si="11"/>
        <v>1.7494314381790597</v>
      </c>
      <c r="P50" s="28">
        <f t="shared" si="12"/>
        <v>3.1705683766463134E-2</v>
      </c>
      <c r="Q50" s="28">
        <f t="shared" si="13"/>
        <v>3.1705683766463134E-2</v>
      </c>
      <c r="R50" s="27">
        <f t="shared" si="14"/>
        <v>86.906705581437194</v>
      </c>
    </row>
    <row r="51" spans="2:18">
      <c r="B51" s="6">
        <v>92.97</v>
      </c>
      <c r="C51" s="6">
        <v>90.75</v>
      </c>
      <c r="D51" s="7">
        <f t="shared" si="0"/>
        <v>91.86</v>
      </c>
      <c r="E51" s="18">
        <f t="shared" si="1"/>
        <v>82.564999999999998</v>
      </c>
      <c r="F51" s="18">
        <f t="shared" si="2"/>
        <v>90</v>
      </c>
      <c r="G51" s="19">
        <f t="shared" si="3"/>
        <v>7.4350000000000023</v>
      </c>
      <c r="H51" s="21">
        <f t="shared" si="4"/>
        <v>82.53</v>
      </c>
      <c r="I51" s="22">
        <f t="shared" si="5"/>
        <v>92.97</v>
      </c>
      <c r="J51" s="20">
        <f t="shared" si="6"/>
        <v>10.439999999999998</v>
      </c>
      <c r="K51" s="14">
        <f t="shared" si="7"/>
        <v>82.53</v>
      </c>
      <c r="L51" s="14">
        <f t="shared" si="8"/>
        <v>92.97</v>
      </c>
      <c r="M51" s="14">
        <f t="shared" si="9"/>
        <v>10.439999999999998</v>
      </c>
      <c r="N51" s="23">
        <f t="shared" si="10"/>
        <v>1.7758215299832303</v>
      </c>
      <c r="O51" s="23">
        <f t="shared" si="11"/>
        <v>1.7758215299832303</v>
      </c>
      <c r="P51" s="28">
        <f t="shared" si="12"/>
        <v>2.807740329004366E-2</v>
      </c>
      <c r="Q51" s="28">
        <f t="shared" si="13"/>
        <v>2.807740329004366E-2</v>
      </c>
      <c r="R51" s="27">
        <f t="shared" si="14"/>
        <v>87.045781226441505</v>
      </c>
    </row>
    <row r="52" spans="2:18">
      <c r="B52" s="6">
        <v>91.72</v>
      </c>
      <c r="C52" s="6">
        <v>89</v>
      </c>
      <c r="D52" s="7">
        <f t="shared" si="0"/>
        <v>90.36</v>
      </c>
      <c r="E52" s="18">
        <f t="shared" si="1"/>
        <v>82.564999999999998</v>
      </c>
      <c r="F52" s="18">
        <f t="shared" si="2"/>
        <v>90</v>
      </c>
      <c r="G52" s="19">
        <f t="shared" si="3"/>
        <v>7.4350000000000023</v>
      </c>
      <c r="H52" s="21">
        <f t="shared" si="4"/>
        <v>82.53</v>
      </c>
      <c r="I52" s="22">
        <f t="shared" si="5"/>
        <v>92.97</v>
      </c>
      <c r="J52" s="20">
        <f t="shared" si="6"/>
        <v>10.439999999999998</v>
      </c>
      <c r="K52" s="14">
        <f t="shared" si="7"/>
        <v>82.53</v>
      </c>
      <c r="L52" s="14">
        <f t="shared" si="8"/>
        <v>92.97</v>
      </c>
      <c r="M52" s="14">
        <f t="shared" si="9"/>
        <v>10.439999999999998</v>
      </c>
      <c r="N52" s="23">
        <f t="shared" si="10"/>
        <v>1.7758215299832303</v>
      </c>
      <c r="O52" s="23">
        <f t="shared" si="11"/>
        <v>1.7758215299832303</v>
      </c>
      <c r="P52" s="28">
        <f t="shared" si="12"/>
        <v>2.807740329004366E-2</v>
      </c>
      <c r="Q52" s="28">
        <f t="shared" si="13"/>
        <v>2.807740329004366E-2</v>
      </c>
      <c r="R52" s="27">
        <f t="shared" si="14"/>
        <v>87.138835883538135</v>
      </c>
    </row>
    <row r="53" spans="2:18">
      <c r="B53" s="6">
        <v>91.155000000000001</v>
      </c>
      <c r="C53" s="6">
        <v>88.564999999999998</v>
      </c>
      <c r="D53" s="7">
        <f t="shared" si="0"/>
        <v>89.86</v>
      </c>
      <c r="E53" s="18">
        <f t="shared" si="1"/>
        <v>82.53</v>
      </c>
      <c r="F53" s="18">
        <f t="shared" si="2"/>
        <v>90</v>
      </c>
      <c r="G53" s="19">
        <f t="shared" si="3"/>
        <v>7.4699999999999989</v>
      </c>
      <c r="H53" s="21">
        <f t="shared" si="4"/>
        <v>85.064999999999998</v>
      </c>
      <c r="I53" s="22">
        <f t="shared" si="5"/>
        <v>92.97</v>
      </c>
      <c r="J53" s="20">
        <f t="shared" si="6"/>
        <v>7.9050000000000011</v>
      </c>
      <c r="K53" s="14">
        <f t="shared" si="7"/>
        <v>82.53</v>
      </c>
      <c r="L53" s="14">
        <f t="shared" si="8"/>
        <v>92.97</v>
      </c>
      <c r="M53" s="14">
        <f t="shared" si="9"/>
        <v>10.439999999999998</v>
      </c>
      <c r="N53" s="23">
        <f t="shared" si="10"/>
        <v>1.5584646985440804</v>
      </c>
      <c r="O53" s="23">
        <f t="shared" si="11"/>
        <v>1.5584646985440804</v>
      </c>
      <c r="P53" s="28">
        <f t="shared" si="12"/>
        <v>7.6395996985353001E-2</v>
      </c>
      <c r="Q53" s="28">
        <f t="shared" si="13"/>
        <v>7.6395996985353001E-2</v>
      </c>
      <c r="R53" s="27">
        <f t="shared" si="14"/>
        <v>87.346721929176013</v>
      </c>
    </row>
    <row r="54" spans="2:18">
      <c r="B54" s="6">
        <v>91.75</v>
      </c>
      <c r="C54" s="6">
        <v>90.094999999999999</v>
      </c>
      <c r="D54" s="7">
        <f t="shared" si="0"/>
        <v>90.922499999999999</v>
      </c>
      <c r="E54" s="18">
        <f t="shared" si="1"/>
        <v>82.53</v>
      </c>
      <c r="F54" s="18">
        <f t="shared" si="2"/>
        <v>90</v>
      </c>
      <c r="G54" s="19">
        <f t="shared" si="3"/>
        <v>7.4699999999999989</v>
      </c>
      <c r="H54" s="21">
        <f t="shared" si="4"/>
        <v>86.875</v>
      </c>
      <c r="I54" s="22">
        <f t="shared" si="5"/>
        <v>92.97</v>
      </c>
      <c r="J54" s="20">
        <f t="shared" si="6"/>
        <v>6.0949999999999989</v>
      </c>
      <c r="K54" s="14">
        <f t="shared" si="7"/>
        <v>82.53</v>
      </c>
      <c r="L54" s="14">
        <f t="shared" si="8"/>
        <v>92.97</v>
      </c>
      <c r="M54" s="14">
        <f t="shared" si="9"/>
        <v>10.439999999999998</v>
      </c>
      <c r="N54" s="23">
        <f t="shared" si="10"/>
        <v>1.3777673357119817</v>
      </c>
      <c r="O54" s="23">
        <f t="shared" si="11"/>
        <v>1.3777673357119817</v>
      </c>
      <c r="P54" s="28">
        <f t="shared" si="12"/>
        <v>0.17557607193712005</v>
      </c>
      <c r="Q54" s="28">
        <f t="shared" si="13"/>
        <v>0.17557607193712005</v>
      </c>
      <c r="R54" s="27">
        <f t="shared" si="14"/>
        <v>87.974542996970186</v>
      </c>
    </row>
    <row r="55" spans="2:18">
      <c r="B55" s="6">
        <v>90</v>
      </c>
      <c r="C55" s="6">
        <v>89</v>
      </c>
      <c r="D55" s="7">
        <f t="shared" si="0"/>
        <v>89.5</v>
      </c>
      <c r="E55" s="18">
        <f t="shared" si="1"/>
        <v>82.53</v>
      </c>
      <c r="F55" s="18">
        <f t="shared" si="2"/>
        <v>89.844999999999999</v>
      </c>
      <c r="G55" s="19">
        <f t="shared" si="3"/>
        <v>7.3149999999999977</v>
      </c>
      <c r="H55" s="21">
        <f t="shared" si="4"/>
        <v>88.53</v>
      </c>
      <c r="I55" s="22">
        <f t="shared" si="5"/>
        <v>92.97</v>
      </c>
      <c r="J55" s="20">
        <f t="shared" si="6"/>
        <v>4.4399999999999977</v>
      </c>
      <c r="K55" s="14">
        <f t="shared" si="7"/>
        <v>82.53</v>
      </c>
      <c r="L55" s="14">
        <f t="shared" si="8"/>
        <v>92.97</v>
      </c>
      <c r="M55" s="14">
        <f t="shared" si="9"/>
        <v>10.439999999999998</v>
      </c>
      <c r="N55" s="23">
        <f t="shared" si="10"/>
        <v>1.1711528270831366</v>
      </c>
      <c r="O55" s="23">
        <f t="shared" si="11"/>
        <v>1.1711528270831366</v>
      </c>
      <c r="P55" s="28">
        <f t="shared" si="12"/>
        <v>0.45466795461003379</v>
      </c>
      <c r="Q55" s="28">
        <f t="shared" si="13"/>
        <v>0.45466795461003379</v>
      </c>
      <c r="R55" s="27">
        <f t="shared" si="14"/>
        <v>88.668119412383305</v>
      </c>
    </row>
    <row r="56" spans="2:18">
      <c r="B56" s="6">
        <v>88.875</v>
      </c>
      <c r="C56" s="6">
        <v>86.47</v>
      </c>
      <c r="D56" s="7">
        <f t="shared" si="0"/>
        <v>87.672499999999999</v>
      </c>
      <c r="E56" s="18">
        <f t="shared" si="1"/>
        <v>82.53</v>
      </c>
      <c r="F56" s="18">
        <f t="shared" si="2"/>
        <v>90</v>
      </c>
      <c r="G56" s="19">
        <f t="shared" si="3"/>
        <v>7.4699999999999989</v>
      </c>
      <c r="H56" s="21">
        <f t="shared" si="4"/>
        <v>86.47</v>
      </c>
      <c r="I56" s="22">
        <f t="shared" si="5"/>
        <v>92.97</v>
      </c>
      <c r="J56" s="20">
        <f t="shared" si="6"/>
        <v>6.5</v>
      </c>
      <c r="K56" s="14">
        <f t="shared" si="7"/>
        <v>82.53</v>
      </c>
      <c r="L56" s="14">
        <f t="shared" si="8"/>
        <v>92.97</v>
      </c>
      <c r="M56" s="14">
        <f t="shared" si="9"/>
        <v>10.439999999999998</v>
      </c>
      <c r="N56" s="23">
        <f t="shared" si="10"/>
        <v>1.4202103088395788</v>
      </c>
      <c r="O56" s="23">
        <f t="shared" si="11"/>
        <v>1.4202103088395788</v>
      </c>
      <c r="P56" s="28">
        <f t="shared" si="12"/>
        <v>0.14440405284655541</v>
      </c>
      <c r="Q56" s="28">
        <f t="shared" si="13"/>
        <v>0.14440405284655541</v>
      </c>
      <c r="R56" s="27">
        <f t="shared" si="14"/>
        <v>88.524347934142455</v>
      </c>
    </row>
    <row r="57" spans="2:18">
      <c r="B57" s="6">
        <v>89</v>
      </c>
      <c r="C57" s="6">
        <v>84</v>
      </c>
      <c r="D57" s="7">
        <f t="shared" si="0"/>
        <v>86.5</v>
      </c>
      <c r="E57" s="18">
        <f t="shared" si="1"/>
        <v>82.53</v>
      </c>
      <c r="F57" s="18">
        <f t="shared" si="2"/>
        <v>92.44</v>
      </c>
      <c r="G57" s="19">
        <f t="shared" si="3"/>
        <v>9.9099999999999966</v>
      </c>
      <c r="H57" s="21">
        <f t="shared" si="4"/>
        <v>84</v>
      </c>
      <c r="I57" s="22">
        <f t="shared" si="5"/>
        <v>92.97</v>
      </c>
      <c r="J57" s="20">
        <f t="shared" si="6"/>
        <v>8.9699999999999989</v>
      </c>
      <c r="K57" s="14">
        <f t="shared" si="7"/>
        <v>82.53</v>
      </c>
      <c r="L57" s="14">
        <f t="shared" si="8"/>
        <v>92.97</v>
      </c>
      <c r="M57" s="14">
        <f t="shared" si="9"/>
        <v>10.439999999999998</v>
      </c>
      <c r="N57" s="23">
        <f t="shared" si="10"/>
        <v>1.8547370527919567</v>
      </c>
      <c r="O57" s="23">
        <f t="shared" si="11"/>
        <v>1.8547370527919567</v>
      </c>
      <c r="P57" s="28">
        <f t="shared" si="12"/>
        <v>1.9522071291594986E-2</v>
      </c>
      <c r="Q57" s="28">
        <f t="shared" si="13"/>
        <v>1.9522071291594986E-2</v>
      </c>
      <c r="R57" s="27">
        <f t="shared" si="14"/>
        <v>88.484828469453134</v>
      </c>
    </row>
    <row r="58" spans="2:18">
      <c r="B58" s="6">
        <v>85.25</v>
      </c>
      <c r="C58" s="6">
        <v>83.314999999999998</v>
      </c>
      <c r="D58" s="7">
        <f t="shared" si="0"/>
        <v>84.282499999999999</v>
      </c>
      <c r="E58" s="18">
        <f t="shared" si="1"/>
        <v>82.53</v>
      </c>
      <c r="F58" s="18">
        <f t="shared" si="2"/>
        <v>92.44</v>
      </c>
      <c r="G58" s="19">
        <f t="shared" si="3"/>
        <v>9.9099999999999966</v>
      </c>
      <c r="H58" s="21">
        <f t="shared" si="4"/>
        <v>83.314999999999998</v>
      </c>
      <c r="I58" s="22">
        <f t="shared" si="5"/>
        <v>92.97</v>
      </c>
      <c r="J58" s="20">
        <f t="shared" si="6"/>
        <v>9.6550000000000011</v>
      </c>
      <c r="K58" s="14">
        <f t="shared" si="7"/>
        <v>82.53</v>
      </c>
      <c r="L58" s="14">
        <f t="shared" si="8"/>
        <v>92.97</v>
      </c>
      <c r="M58" s="14">
        <f t="shared" si="9"/>
        <v>10.439999999999998</v>
      </c>
      <c r="N58" s="23">
        <f t="shared" si="10"/>
        <v>1.9061533983309098</v>
      </c>
      <c r="O58" s="23">
        <f t="shared" si="11"/>
        <v>1.9061533983309098</v>
      </c>
      <c r="P58" s="28">
        <f t="shared" si="12"/>
        <v>1.5406117411515579E-2</v>
      </c>
      <c r="Q58" s="28">
        <f t="shared" si="13"/>
        <v>1.5406117411515579E-2</v>
      </c>
      <c r="R58" s="27">
        <f t="shared" si="14"/>
        <v>88.420086903650983</v>
      </c>
    </row>
    <row r="59" spans="2:18">
      <c r="B59" s="6">
        <v>83.814999999999998</v>
      </c>
      <c r="C59" s="6">
        <v>82</v>
      </c>
      <c r="D59" s="7">
        <f t="shared" si="0"/>
        <v>82.907499999999999</v>
      </c>
      <c r="E59" s="18">
        <f t="shared" si="1"/>
        <v>82.53</v>
      </c>
      <c r="F59" s="18">
        <f t="shared" si="2"/>
        <v>92.97</v>
      </c>
      <c r="G59" s="19">
        <f t="shared" si="3"/>
        <v>10.439999999999998</v>
      </c>
      <c r="H59" s="21">
        <f t="shared" si="4"/>
        <v>82</v>
      </c>
      <c r="I59" s="22">
        <f t="shared" si="5"/>
        <v>91.75</v>
      </c>
      <c r="J59" s="20">
        <f t="shared" si="6"/>
        <v>9.75</v>
      </c>
      <c r="K59" s="14">
        <f t="shared" si="7"/>
        <v>82</v>
      </c>
      <c r="L59" s="14">
        <f t="shared" si="8"/>
        <v>92.97</v>
      </c>
      <c r="M59" s="14">
        <f t="shared" si="9"/>
        <v>10.969999999999999</v>
      </c>
      <c r="N59" s="23">
        <f t="shared" si="10"/>
        <v>1.8800773849282806</v>
      </c>
      <c r="O59" s="23">
        <f t="shared" si="11"/>
        <v>1.8800773849282806</v>
      </c>
      <c r="P59" s="28">
        <f t="shared" si="12"/>
        <v>1.7371816376767282E-2</v>
      </c>
      <c r="Q59" s="28">
        <f t="shared" si="13"/>
        <v>1.7371816376767282E-2</v>
      </c>
      <c r="R59" s="27">
        <f t="shared" si="14"/>
        <v>88.32432325619979</v>
      </c>
    </row>
    <row r="60" spans="2:18">
      <c r="B60" s="6">
        <v>85.25</v>
      </c>
      <c r="C60" s="6">
        <v>83.25</v>
      </c>
      <c r="D60" s="7">
        <f t="shared" si="0"/>
        <v>84.25</v>
      </c>
      <c r="E60" s="18">
        <f t="shared" si="1"/>
        <v>82.53</v>
      </c>
      <c r="F60" s="18">
        <f t="shared" si="2"/>
        <v>92.97</v>
      </c>
      <c r="G60" s="19">
        <f t="shared" si="3"/>
        <v>10.439999999999998</v>
      </c>
      <c r="H60" s="21">
        <f t="shared" si="4"/>
        <v>82</v>
      </c>
      <c r="I60" s="22">
        <f t="shared" si="5"/>
        <v>91.75</v>
      </c>
      <c r="J60" s="20">
        <f t="shared" si="6"/>
        <v>9.75</v>
      </c>
      <c r="K60" s="14">
        <f t="shared" si="7"/>
        <v>82</v>
      </c>
      <c r="L60" s="14">
        <f t="shared" si="8"/>
        <v>92.97</v>
      </c>
      <c r="M60" s="14">
        <f t="shared" si="9"/>
        <v>10.969999999999999</v>
      </c>
      <c r="N60" s="23">
        <f t="shared" si="10"/>
        <v>1.8800773849282806</v>
      </c>
      <c r="O60" s="23">
        <f t="shared" si="11"/>
        <v>1.8800773849282806</v>
      </c>
      <c r="P60" s="28">
        <f t="shared" si="12"/>
        <v>1.7371816376767282E-2</v>
      </c>
      <c r="Q60" s="28">
        <f t="shared" si="13"/>
        <v>1.7371816376767282E-2</v>
      </c>
      <c r="R60" s="27">
        <f t="shared" si="14"/>
        <v>88.253544860733498</v>
      </c>
    </row>
    <row r="61" spans="2:18">
      <c r="B61" s="6">
        <v>86.625</v>
      </c>
      <c r="C61" s="6">
        <v>84.75</v>
      </c>
      <c r="D61" s="7">
        <f t="shared" si="0"/>
        <v>85.6875</v>
      </c>
      <c r="E61" s="18">
        <f t="shared" si="1"/>
        <v>85.064999999999998</v>
      </c>
      <c r="F61" s="18">
        <f t="shared" si="2"/>
        <v>92.97</v>
      </c>
      <c r="G61" s="19">
        <f t="shared" si="3"/>
        <v>7.9050000000000011</v>
      </c>
      <c r="H61" s="21">
        <f t="shared" si="4"/>
        <v>82</v>
      </c>
      <c r="I61" s="22">
        <f t="shared" si="5"/>
        <v>91.75</v>
      </c>
      <c r="J61" s="20">
        <f t="shared" si="6"/>
        <v>9.75</v>
      </c>
      <c r="K61" s="14">
        <f t="shared" si="7"/>
        <v>82</v>
      </c>
      <c r="L61" s="14">
        <f t="shared" si="8"/>
        <v>92.97</v>
      </c>
      <c r="M61" s="14">
        <f t="shared" si="9"/>
        <v>10.969999999999999</v>
      </c>
      <c r="N61" s="23">
        <f t="shared" si="10"/>
        <v>1.6865132953564077</v>
      </c>
      <c r="O61" s="23">
        <f t="shared" si="11"/>
        <v>1.6865132953564077</v>
      </c>
      <c r="P61" s="28">
        <f t="shared" si="12"/>
        <v>4.2361702829518184E-2</v>
      </c>
      <c r="Q61" s="28">
        <f t="shared" si="13"/>
        <v>4.2361702829518184E-2</v>
      </c>
      <c r="R61" s="27">
        <f t="shared" si="14"/>
        <v>88.144842830895897</v>
      </c>
    </row>
    <row r="62" spans="2:18">
      <c r="B62" s="6">
        <v>87.94</v>
      </c>
      <c r="C62" s="6">
        <v>85.28</v>
      </c>
      <c r="D62" s="7">
        <f t="shared" si="0"/>
        <v>86.61</v>
      </c>
      <c r="E62" s="18">
        <f t="shared" si="1"/>
        <v>86.875</v>
      </c>
      <c r="F62" s="18">
        <f t="shared" si="2"/>
        <v>92.97</v>
      </c>
      <c r="G62" s="19">
        <f t="shared" si="3"/>
        <v>6.0949999999999989</v>
      </c>
      <c r="H62" s="21">
        <f t="shared" si="4"/>
        <v>82</v>
      </c>
      <c r="I62" s="22">
        <f t="shared" si="5"/>
        <v>90</v>
      </c>
      <c r="J62" s="20">
        <f t="shared" si="6"/>
        <v>8</v>
      </c>
      <c r="K62" s="14">
        <f t="shared" si="7"/>
        <v>82</v>
      </c>
      <c r="L62" s="14">
        <f t="shared" si="8"/>
        <v>92.97</v>
      </c>
      <c r="M62" s="14">
        <f t="shared" si="9"/>
        <v>10.969999999999999</v>
      </c>
      <c r="N62" s="23">
        <f t="shared" si="10"/>
        <v>1.361619952167229</v>
      </c>
      <c r="O62" s="23">
        <f t="shared" si="11"/>
        <v>1.361619952167229</v>
      </c>
      <c r="P62" s="28">
        <f t="shared" si="12"/>
        <v>0.18912985764243437</v>
      </c>
      <c r="Q62" s="28">
        <f t="shared" si="13"/>
        <v>0.18912985764243437</v>
      </c>
      <c r="R62" s="27">
        <f t="shared" si="14"/>
        <v>87.854558224785038</v>
      </c>
    </row>
    <row r="63" spans="2:18">
      <c r="B63" s="6">
        <v>89.375</v>
      </c>
      <c r="C63" s="6">
        <v>87.19</v>
      </c>
      <c r="D63" s="7">
        <f t="shared" si="0"/>
        <v>88.282499999999999</v>
      </c>
      <c r="E63" s="18">
        <f t="shared" si="1"/>
        <v>88.53</v>
      </c>
      <c r="F63" s="18">
        <f t="shared" si="2"/>
        <v>92.97</v>
      </c>
      <c r="G63" s="19">
        <f t="shared" si="3"/>
        <v>4.4399999999999977</v>
      </c>
      <c r="H63" s="21">
        <f t="shared" si="4"/>
        <v>82</v>
      </c>
      <c r="I63" s="22">
        <f t="shared" si="5"/>
        <v>89.375</v>
      </c>
      <c r="J63" s="20">
        <f t="shared" si="6"/>
        <v>7.375</v>
      </c>
      <c r="K63" s="14">
        <f t="shared" si="7"/>
        <v>82</v>
      </c>
      <c r="L63" s="14">
        <f t="shared" si="8"/>
        <v>92.97</v>
      </c>
      <c r="M63" s="14">
        <f t="shared" si="9"/>
        <v>10.969999999999999</v>
      </c>
      <c r="N63" s="23">
        <f t="shared" si="10"/>
        <v>1.1070561035706539</v>
      </c>
      <c r="O63" s="23">
        <f t="shared" si="11"/>
        <v>1.1070561035706539</v>
      </c>
      <c r="P63" s="28">
        <f t="shared" si="12"/>
        <v>0.61078419834787712</v>
      </c>
      <c r="Q63" s="28">
        <f t="shared" si="13"/>
        <v>0.61078419834787712</v>
      </c>
      <c r="R63" s="27">
        <f t="shared" si="14"/>
        <v>88.11593829889928</v>
      </c>
    </row>
    <row r="64" spans="2:18">
      <c r="B64" s="6">
        <v>90.625</v>
      </c>
      <c r="C64" s="6">
        <v>88.44</v>
      </c>
      <c r="D64" s="7">
        <f t="shared" si="0"/>
        <v>89.532499999999999</v>
      </c>
      <c r="E64" s="18">
        <f t="shared" si="1"/>
        <v>86.47</v>
      </c>
      <c r="F64" s="18">
        <f t="shared" si="2"/>
        <v>92.97</v>
      </c>
      <c r="G64" s="19">
        <f t="shared" si="3"/>
        <v>6.5</v>
      </c>
      <c r="H64" s="21">
        <f t="shared" si="4"/>
        <v>82</v>
      </c>
      <c r="I64" s="22">
        <f t="shared" si="5"/>
        <v>90.625</v>
      </c>
      <c r="J64" s="20">
        <f t="shared" si="6"/>
        <v>8.625</v>
      </c>
      <c r="K64" s="14">
        <f t="shared" si="7"/>
        <v>82</v>
      </c>
      <c r="L64" s="14">
        <f t="shared" si="8"/>
        <v>92.97</v>
      </c>
      <c r="M64" s="14">
        <f t="shared" si="9"/>
        <v>10.969999999999999</v>
      </c>
      <c r="N64" s="23">
        <f t="shared" si="10"/>
        <v>1.4633716166461266</v>
      </c>
      <c r="O64" s="23">
        <f t="shared" si="11"/>
        <v>1.4633716166461266</v>
      </c>
      <c r="P64" s="28">
        <f t="shared" si="12"/>
        <v>0.11837412088707128</v>
      </c>
      <c r="Q64" s="28">
        <f t="shared" si="13"/>
        <v>0.11837412088707128</v>
      </c>
      <c r="R64" s="27">
        <f t="shared" si="14"/>
        <v>88.283622544949367</v>
      </c>
    </row>
    <row r="65" spans="2:18">
      <c r="B65" s="6">
        <v>90.75</v>
      </c>
      <c r="C65" s="6">
        <v>88.25</v>
      </c>
      <c r="D65" s="7">
        <f t="shared" si="0"/>
        <v>89.5</v>
      </c>
      <c r="E65" s="18">
        <f t="shared" si="1"/>
        <v>84</v>
      </c>
      <c r="F65" s="18">
        <f t="shared" si="2"/>
        <v>92.97</v>
      </c>
      <c r="G65" s="19">
        <f t="shared" si="3"/>
        <v>8.9699999999999989</v>
      </c>
      <c r="H65" s="21">
        <f t="shared" si="4"/>
        <v>82</v>
      </c>
      <c r="I65" s="22">
        <f t="shared" si="5"/>
        <v>90.75</v>
      </c>
      <c r="J65" s="20">
        <f t="shared" si="6"/>
        <v>8.75</v>
      </c>
      <c r="K65" s="14">
        <f t="shared" si="7"/>
        <v>82</v>
      </c>
      <c r="L65" s="14">
        <f t="shared" si="8"/>
        <v>92.97</v>
      </c>
      <c r="M65" s="14">
        <f t="shared" si="9"/>
        <v>10.969999999999999</v>
      </c>
      <c r="N65" s="23">
        <f t="shared" si="10"/>
        <v>1.6918150781518257</v>
      </c>
      <c r="O65" s="23">
        <f t="shared" si="11"/>
        <v>1.6918150781518257</v>
      </c>
      <c r="P65" s="28">
        <f t="shared" si="12"/>
        <v>4.1339940164804523E-2</v>
      </c>
      <c r="Q65" s="28">
        <f t="shared" si="13"/>
        <v>4.1339940164804523E-2</v>
      </c>
      <c r="R65" s="27">
        <f t="shared" si="14"/>
        <v>88.333907516158973</v>
      </c>
    </row>
    <row r="66" spans="2:18">
      <c r="B66" s="6">
        <v>88.844999999999999</v>
      </c>
      <c r="C66" s="6">
        <v>87.344999999999999</v>
      </c>
      <c r="D66" s="7">
        <f t="shared" si="0"/>
        <v>88.094999999999999</v>
      </c>
      <c r="E66" s="18">
        <f t="shared" si="1"/>
        <v>83.314999999999998</v>
      </c>
      <c r="F66" s="18">
        <f t="shared" si="2"/>
        <v>92.97</v>
      </c>
      <c r="G66" s="19">
        <f t="shared" si="3"/>
        <v>9.6550000000000011</v>
      </c>
      <c r="H66" s="21">
        <f t="shared" si="4"/>
        <v>82</v>
      </c>
      <c r="I66" s="22">
        <f t="shared" si="5"/>
        <v>90.75</v>
      </c>
      <c r="J66" s="20">
        <f t="shared" si="6"/>
        <v>8.75</v>
      </c>
      <c r="K66" s="14">
        <f t="shared" si="7"/>
        <v>82</v>
      </c>
      <c r="L66" s="14">
        <f t="shared" si="8"/>
        <v>92.97</v>
      </c>
      <c r="M66" s="14">
        <f t="shared" si="9"/>
        <v>10.969999999999999</v>
      </c>
      <c r="N66" s="23">
        <f t="shared" si="10"/>
        <v>1.7465342239808685</v>
      </c>
      <c r="O66" s="23">
        <f t="shared" si="11"/>
        <v>1.7465342239808685</v>
      </c>
      <c r="P66" s="28">
        <f t="shared" si="12"/>
        <v>3.2131540823316533E-2</v>
      </c>
      <c r="Q66" s="28">
        <f t="shared" si="13"/>
        <v>3.2131540823316533E-2</v>
      </c>
      <c r="R66" s="27">
        <f t="shared" si="14"/>
        <v>88.326231049550515</v>
      </c>
    </row>
    <row r="67" spans="2:18">
      <c r="B67" s="6">
        <v>91.97</v>
      </c>
      <c r="C67" s="6">
        <v>89.28</v>
      </c>
      <c r="D67" s="7">
        <f t="shared" si="0"/>
        <v>90.625</v>
      </c>
      <c r="E67" s="18">
        <f t="shared" si="1"/>
        <v>82</v>
      </c>
      <c r="F67" s="18">
        <f t="shared" si="2"/>
        <v>91.75</v>
      </c>
      <c r="G67" s="19">
        <f t="shared" si="3"/>
        <v>9.75</v>
      </c>
      <c r="H67" s="21">
        <f t="shared" si="4"/>
        <v>83.25</v>
      </c>
      <c r="I67" s="22">
        <f t="shared" si="5"/>
        <v>91.97</v>
      </c>
      <c r="J67" s="20">
        <f t="shared" si="6"/>
        <v>8.7199999999999989</v>
      </c>
      <c r="K67" s="14">
        <f t="shared" si="7"/>
        <v>82</v>
      </c>
      <c r="L67" s="14">
        <f t="shared" si="8"/>
        <v>91.97</v>
      </c>
      <c r="M67" s="14">
        <f t="shared" si="9"/>
        <v>9.9699999999999989</v>
      </c>
      <c r="N67" s="23">
        <f t="shared" si="10"/>
        <v>1.8895184565842424</v>
      </c>
      <c r="O67" s="23">
        <f t="shared" si="11"/>
        <v>1.8895184565842424</v>
      </c>
      <c r="P67" s="28">
        <f t="shared" si="12"/>
        <v>1.663271273436755E-2</v>
      </c>
      <c r="Q67" s="28">
        <f t="shared" si="13"/>
        <v>1.663271273436755E-2</v>
      </c>
      <c r="R67" s="27">
        <f t="shared" si="14"/>
        <v>88.364465813146026</v>
      </c>
    </row>
    <row r="68" spans="2:18">
      <c r="B68" s="6">
        <v>93.375</v>
      </c>
      <c r="C68" s="6">
        <v>91.094999999999999</v>
      </c>
      <c r="D68" s="7">
        <f t="shared" si="0"/>
        <v>92.234999999999999</v>
      </c>
      <c r="E68" s="18">
        <f t="shared" si="1"/>
        <v>82</v>
      </c>
      <c r="F68" s="18">
        <f t="shared" si="2"/>
        <v>91.75</v>
      </c>
      <c r="G68" s="19">
        <f t="shared" si="3"/>
        <v>9.75</v>
      </c>
      <c r="H68" s="21">
        <f t="shared" si="4"/>
        <v>84.75</v>
      </c>
      <c r="I68" s="22">
        <f t="shared" si="5"/>
        <v>93.375</v>
      </c>
      <c r="J68" s="20">
        <f t="shared" si="6"/>
        <v>8.625</v>
      </c>
      <c r="K68" s="14">
        <f t="shared" si="7"/>
        <v>82</v>
      </c>
      <c r="L68" s="14">
        <f t="shared" si="8"/>
        <v>93.375</v>
      </c>
      <c r="M68" s="14">
        <f t="shared" si="9"/>
        <v>11.375</v>
      </c>
      <c r="N68" s="23">
        <f t="shared" si="10"/>
        <v>1.6918777046376683</v>
      </c>
      <c r="O68" s="23">
        <f t="shared" si="11"/>
        <v>1.6918777046376683</v>
      </c>
      <c r="P68" s="28">
        <f t="shared" si="12"/>
        <v>4.1328019212622469E-2</v>
      </c>
      <c r="Q68" s="28">
        <f t="shared" si="13"/>
        <v>4.1328019212622469E-2</v>
      </c>
      <c r="R68" s="27">
        <f t="shared" si="14"/>
        <v>88.524427324383439</v>
      </c>
    </row>
    <row r="69" spans="2:18">
      <c r="B69" s="6">
        <v>93.814999999999998</v>
      </c>
      <c r="C69" s="6">
        <v>89.53</v>
      </c>
      <c r="D69" s="7">
        <f t="shared" si="0"/>
        <v>91.672499999999999</v>
      </c>
      <c r="E69" s="18">
        <f t="shared" si="1"/>
        <v>82</v>
      </c>
      <c r="F69" s="18">
        <f t="shared" si="2"/>
        <v>91.75</v>
      </c>
      <c r="G69" s="19">
        <f t="shared" si="3"/>
        <v>9.75</v>
      </c>
      <c r="H69" s="21">
        <f t="shared" si="4"/>
        <v>85.28</v>
      </c>
      <c r="I69" s="22">
        <f t="shared" si="5"/>
        <v>93.814999999999998</v>
      </c>
      <c r="J69" s="20">
        <f t="shared" si="6"/>
        <v>8.5349999999999966</v>
      </c>
      <c r="K69" s="14">
        <f t="shared" si="7"/>
        <v>82</v>
      </c>
      <c r="L69" s="14">
        <f t="shared" si="8"/>
        <v>93.814999999999998</v>
      </c>
      <c r="M69" s="14">
        <f t="shared" si="9"/>
        <v>11.814999999999998</v>
      </c>
      <c r="N69" s="23">
        <f t="shared" si="10"/>
        <v>1.6300409973675214</v>
      </c>
      <c r="O69" s="23">
        <f t="shared" si="11"/>
        <v>1.6300409973675214</v>
      </c>
      <c r="P69" s="28">
        <f t="shared" si="12"/>
        <v>5.4943713041421788E-2</v>
      </c>
      <c r="Q69" s="28">
        <f t="shared" si="13"/>
        <v>5.4943713041421788E-2</v>
      </c>
      <c r="R69" s="27">
        <f t="shared" si="14"/>
        <v>88.697394126106062</v>
      </c>
    </row>
    <row r="70" spans="2:18">
      <c r="B70" s="6">
        <v>94.03</v>
      </c>
      <c r="C70" s="6">
        <v>91.155000000000001</v>
      </c>
      <c r="D70" s="7">
        <f t="shared" ref="D70:D133" si="15">(B70+C70)/2</f>
        <v>92.592500000000001</v>
      </c>
      <c r="E70" s="18">
        <f t="shared" si="1"/>
        <v>82</v>
      </c>
      <c r="F70" s="18">
        <f t="shared" si="2"/>
        <v>90</v>
      </c>
      <c r="G70" s="19">
        <f t="shared" si="3"/>
        <v>8</v>
      </c>
      <c r="H70" s="21">
        <f t="shared" si="4"/>
        <v>87.19</v>
      </c>
      <c r="I70" s="22">
        <f t="shared" si="5"/>
        <v>94.03</v>
      </c>
      <c r="J70" s="20">
        <f t="shared" si="6"/>
        <v>6.8400000000000034</v>
      </c>
      <c r="K70" s="14">
        <f t="shared" si="7"/>
        <v>82</v>
      </c>
      <c r="L70" s="14">
        <f t="shared" si="8"/>
        <v>94.03</v>
      </c>
      <c r="M70" s="14">
        <f t="shared" si="9"/>
        <v>12.030000000000001</v>
      </c>
      <c r="N70" s="23">
        <f t="shared" si="10"/>
        <v>1.3028544494447269</v>
      </c>
      <c r="O70" s="23">
        <f t="shared" si="11"/>
        <v>1.3028544494447269</v>
      </c>
      <c r="P70" s="28">
        <f t="shared" si="12"/>
        <v>0.24790831933247157</v>
      </c>
      <c r="Q70" s="28">
        <f t="shared" si="13"/>
        <v>0.24790831933247157</v>
      </c>
      <c r="R70" s="27">
        <f t="shared" si="14"/>
        <v>89.663023276925145</v>
      </c>
    </row>
    <row r="71" spans="2:18">
      <c r="B71" s="6">
        <v>94.03</v>
      </c>
      <c r="C71" s="6">
        <v>92</v>
      </c>
      <c r="D71" s="7">
        <f t="shared" si="15"/>
        <v>93.015000000000001</v>
      </c>
      <c r="E71" s="18">
        <f t="shared" si="1"/>
        <v>82</v>
      </c>
      <c r="F71" s="18">
        <f t="shared" si="2"/>
        <v>89.375</v>
      </c>
      <c r="G71" s="19">
        <f t="shared" si="3"/>
        <v>7.375</v>
      </c>
      <c r="H71" s="21">
        <f t="shared" si="4"/>
        <v>87.344999999999999</v>
      </c>
      <c r="I71" s="22">
        <f t="shared" si="5"/>
        <v>94.03</v>
      </c>
      <c r="J71" s="20">
        <f t="shared" si="6"/>
        <v>6.6850000000000023</v>
      </c>
      <c r="K71" s="14">
        <f t="shared" si="7"/>
        <v>82</v>
      </c>
      <c r="L71" s="14">
        <f t="shared" si="8"/>
        <v>94.03</v>
      </c>
      <c r="M71" s="14">
        <f t="shared" si="9"/>
        <v>12.030000000000001</v>
      </c>
      <c r="N71" s="23">
        <f t="shared" si="10"/>
        <v>1.2249599518964589</v>
      </c>
      <c r="O71" s="23">
        <f t="shared" si="11"/>
        <v>1.2249599518964589</v>
      </c>
      <c r="P71" s="28">
        <f t="shared" si="12"/>
        <v>0.35487883290992522</v>
      </c>
      <c r="Q71" s="28">
        <f t="shared" si="13"/>
        <v>0.35487883290992522</v>
      </c>
      <c r="R71" s="27">
        <f t="shared" si="14"/>
        <v>90.852568864351184</v>
      </c>
    </row>
    <row r="72" spans="2:18">
      <c r="B72" s="6">
        <v>91.814999999999998</v>
      </c>
      <c r="C72" s="6">
        <v>90.53</v>
      </c>
      <c r="D72" s="7">
        <f t="shared" si="15"/>
        <v>91.172499999999999</v>
      </c>
      <c r="E72" s="18">
        <f t="shared" si="1"/>
        <v>82</v>
      </c>
      <c r="F72" s="18">
        <f t="shared" si="2"/>
        <v>90.625</v>
      </c>
      <c r="G72" s="19">
        <f t="shared" si="3"/>
        <v>8.625</v>
      </c>
      <c r="H72" s="21">
        <f t="shared" si="4"/>
        <v>87.344999999999999</v>
      </c>
      <c r="I72" s="22">
        <f t="shared" si="5"/>
        <v>94.03</v>
      </c>
      <c r="J72" s="20">
        <f t="shared" si="6"/>
        <v>6.6850000000000023</v>
      </c>
      <c r="K72" s="14">
        <f t="shared" si="7"/>
        <v>82</v>
      </c>
      <c r="L72" s="14">
        <f t="shared" si="8"/>
        <v>94.03</v>
      </c>
      <c r="M72" s="14">
        <f t="shared" si="9"/>
        <v>12.030000000000001</v>
      </c>
      <c r="N72" s="23">
        <f t="shared" si="10"/>
        <v>1.3478376403237113</v>
      </c>
      <c r="O72" s="23">
        <f t="shared" si="11"/>
        <v>1.3478376403237113</v>
      </c>
      <c r="P72" s="28">
        <f t="shared" si="12"/>
        <v>0.20152304623049414</v>
      </c>
      <c r="Q72" s="28">
        <f t="shared" si="13"/>
        <v>0.20152304623049414</v>
      </c>
      <c r="R72" s="27">
        <f t="shared" si="14"/>
        <v>90.917042361391111</v>
      </c>
    </row>
    <row r="73" spans="2:18">
      <c r="B73" s="6">
        <v>92</v>
      </c>
      <c r="C73" s="6">
        <v>89.97</v>
      </c>
      <c r="D73" s="7">
        <f t="shared" si="15"/>
        <v>90.984999999999999</v>
      </c>
      <c r="E73" s="18">
        <f t="shared" si="1"/>
        <v>82</v>
      </c>
      <c r="F73" s="18">
        <f t="shared" si="2"/>
        <v>90.75</v>
      </c>
      <c r="G73" s="19">
        <f t="shared" si="3"/>
        <v>8.75</v>
      </c>
      <c r="H73" s="21">
        <f t="shared" si="4"/>
        <v>87.344999999999999</v>
      </c>
      <c r="I73" s="22">
        <f t="shared" si="5"/>
        <v>94.03</v>
      </c>
      <c r="J73" s="20">
        <f t="shared" si="6"/>
        <v>6.6850000000000023</v>
      </c>
      <c r="K73" s="14">
        <f t="shared" si="7"/>
        <v>82</v>
      </c>
      <c r="L73" s="14">
        <f t="shared" si="8"/>
        <v>94.03</v>
      </c>
      <c r="M73" s="14">
        <f t="shared" si="9"/>
        <v>12.030000000000001</v>
      </c>
      <c r="N73" s="23">
        <f t="shared" si="10"/>
        <v>1.3595688404390482</v>
      </c>
      <c r="O73" s="23">
        <f t="shared" si="11"/>
        <v>1.3595688404390482</v>
      </c>
      <c r="P73" s="28">
        <f t="shared" si="12"/>
        <v>0.19092478891486392</v>
      </c>
      <c r="Q73" s="28">
        <f t="shared" si="13"/>
        <v>0.19092478891486392</v>
      </c>
      <c r="R73" s="27">
        <f t="shared" si="14"/>
        <v>90.930017159197661</v>
      </c>
    </row>
    <row r="74" spans="2:18">
      <c r="B74" s="6">
        <v>91.94</v>
      </c>
      <c r="C74" s="6">
        <v>88.814999999999998</v>
      </c>
      <c r="D74" s="7">
        <f t="shared" si="15"/>
        <v>90.377499999999998</v>
      </c>
      <c r="E74" s="18">
        <f t="shared" si="1"/>
        <v>82</v>
      </c>
      <c r="F74" s="18">
        <f t="shared" si="2"/>
        <v>90.75</v>
      </c>
      <c r="G74" s="19">
        <f t="shared" si="3"/>
        <v>8.75</v>
      </c>
      <c r="H74" s="21">
        <f t="shared" si="4"/>
        <v>88.814999999999998</v>
      </c>
      <c r="I74" s="22">
        <f t="shared" si="5"/>
        <v>94.03</v>
      </c>
      <c r="J74" s="20">
        <f t="shared" si="6"/>
        <v>5.2150000000000034</v>
      </c>
      <c r="K74" s="14">
        <f t="shared" si="7"/>
        <v>82</v>
      </c>
      <c r="L74" s="14">
        <f t="shared" si="8"/>
        <v>94.03</v>
      </c>
      <c r="M74" s="14">
        <f t="shared" si="9"/>
        <v>12.030000000000001</v>
      </c>
      <c r="N74" s="23">
        <f t="shared" si="10"/>
        <v>1.2151789311038736</v>
      </c>
      <c r="O74" s="23">
        <f t="shared" si="11"/>
        <v>1.2151789311038736</v>
      </c>
      <c r="P74" s="28">
        <f t="shared" si="12"/>
        <v>0.37122920712703555</v>
      </c>
      <c r="Q74" s="28">
        <f t="shared" si="13"/>
        <v>0.37122920712703555</v>
      </c>
      <c r="R74" s="27">
        <f t="shared" si="14"/>
        <v>90.724906652264636</v>
      </c>
    </row>
    <row r="75" spans="2:18">
      <c r="B75" s="6">
        <v>89.75</v>
      </c>
      <c r="C75" s="6">
        <v>86.75</v>
      </c>
      <c r="D75" s="7">
        <f t="shared" si="15"/>
        <v>88.25</v>
      </c>
      <c r="E75" s="18">
        <f t="shared" si="1"/>
        <v>83.25</v>
      </c>
      <c r="F75" s="18">
        <f t="shared" si="2"/>
        <v>91.97</v>
      </c>
      <c r="G75" s="19">
        <f t="shared" si="3"/>
        <v>8.7199999999999989</v>
      </c>
      <c r="H75" s="21">
        <f t="shared" si="4"/>
        <v>86.75</v>
      </c>
      <c r="I75" s="22">
        <f t="shared" si="5"/>
        <v>94.03</v>
      </c>
      <c r="J75" s="20">
        <f t="shared" si="6"/>
        <v>7.2800000000000011</v>
      </c>
      <c r="K75" s="14">
        <f t="shared" si="7"/>
        <v>83.25</v>
      </c>
      <c r="L75" s="14">
        <f t="shared" si="8"/>
        <v>94.03</v>
      </c>
      <c r="M75" s="14">
        <f t="shared" si="9"/>
        <v>10.780000000000001</v>
      </c>
      <c r="N75" s="23">
        <f t="shared" si="10"/>
        <v>1.5697147270222191</v>
      </c>
      <c r="O75" s="23">
        <f t="shared" si="11"/>
        <v>1.5697147270222191</v>
      </c>
      <c r="P75" s="28">
        <f t="shared" si="12"/>
        <v>7.2538829919383638E-2</v>
      </c>
      <c r="Q75" s="28">
        <f t="shared" si="13"/>
        <v>7.2538829919383638E-2</v>
      </c>
      <c r="R75" s="27">
        <f t="shared" si="14"/>
        <v>90.545379819549666</v>
      </c>
    </row>
    <row r="76" spans="2:18">
      <c r="B76" s="6">
        <v>88.75</v>
      </c>
      <c r="C76" s="6">
        <v>85.064999999999998</v>
      </c>
      <c r="D76" s="7">
        <f t="shared" si="15"/>
        <v>86.907499999999999</v>
      </c>
      <c r="E76" s="18">
        <f t="shared" si="1"/>
        <v>84.75</v>
      </c>
      <c r="F76" s="18">
        <f t="shared" si="2"/>
        <v>93.375</v>
      </c>
      <c r="G76" s="19">
        <f t="shared" si="3"/>
        <v>8.625</v>
      </c>
      <c r="H76" s="21">
        <f t="shared" si="4"/>
        <v>85.064999999999998</v>
      </c>
      <c r="I76" s="22">
        <f t="shared" si="5"/>
        <v>94.03</v>
      </c>
      <c r="J76" s="20">
        <f t="shared" si="6"/>
        <v>8.9650000000000034</v>
      </c>
      <c r="K76" s="14">
        <f t="shared" si="7"/>
        <v>84.75</v>
      </c>
      <c r="L76" s="14">
        <f t="shared" si="8"/>
        <v>94.03</v>
      </c>
      <c r="M76" s="14">
        <f t="shared" si="9"/>
        <v>9.2800000000000011</v>
      </c>
      <c r="N76" s="23">
        <f t="shared" si="10"/>
        <v>1.9225587723443893</v>
      </c>
      <c r="O76" s="23">
        <f t="shared" si="11"/>
        <v>1.9225587723443893</v>
      </c>
      <c r="P76" s="28">
        <f t="shared" si="12"/>
        <v>1.4285072711938494E-2</v>
      </c>
      <c r="Q76" s="28">
        <f t="shared" si="13"/>
        <v>1.4285072711938494E-2</v>
      </c>
      <c r="R76" s="27">
        <f t="shared" si="14"/>
        <v>90.493412441810108</v>
      </c>
    </row>
    <row r="77" spans="2:18">
      <c r="B77" s="6">
        <v>86.155000000000001</v>
      </c>
      <c r="C77" s="6">
        <v>82.03</v>
      </c>
      <c r="D77" s="7">
        <f t="shared" si="15"/>
        <v>84.092500000000001</v>
      </c>
      <c r="E77" s="18">
        <f t="shared" si="1"/>
        <v>85.28</v>
      </c>
      <c r="F77" s="18">
        <f t="shared" si="2"/>
        <v>93.814999999999998</v>
      </c>
      <c r="G77" s="19">
        <f t="shared" si="3"/>
        <v>8.5349999999999966</v>
      </c>
      <c r="H77" s="21">
        <f t="shared" si="4"/>
        <v>82.03</v>
      </c>
      <c r="I77" s="22">
        <f t="shared" si="5"/>
        <v>94.03</v>
      </c>
      <c r="J77" s="20">
        <f t="shared" si="6"/>
        <v>12</v>
      </c>
      <c r="K77" s="14">
        <f t="shared" si="7"/>
        <v>82.03</v>
      </c>
      <c r="L77" s="14">
        <f t="shared" si="8"/>
        <v>94.03</v>
      </c>
      <c r="M77" s="14">
        <f t="shared" si="9"/>
        <v>12</v>
      </c>
      <c r="N77" s="23">
        <f t="shared" si="10"/>
        <v>1.7750505414831743</v>
      </c>
      <c r="O77" s="23">
        <f t="shared" si="11"/>
        <v>1.7750505414831743</v>
      </c>
      <c r="P77" s="28">
        <f t="shared" si="12"/>
        <v>2.8177270229648936E-2</v>
      </c>
      <c r="Q77" s="28">
        <f t="shared" si="13"/>
        <v>2.8177270229648936E-2</v>
      </c>
      <c r="R77" s="27">
        <f t="shared" si="14"/>
        <v>90.313052202220902</v>
      </c>
    </row>
    <row r="78" spans="2:18">
      <c r="B78" s="6">
        <v>84.875</v>
      </c>
      <c r="C78" s="6">
        <v>81.5</v>
      </c>
      <c r="D78" s="7">
        <f t="shared" si="15"/>
        <v>83.1875</v>
      </c>
      <c r="E78" s="18">
        <f t="shared" si="1"/>
        <v>87.19</v>
      </c>
      <c r="F78" s="18">
        <f t="shared" si="2"/>
        <v>94.03</v>
      </c>
      <c r="G78" s="19">
        <f t="shared" si="3"/>
        <v>6.8400000000000034</v>
      </c>
      <c r="H78" s="21">
        <f t="shared" si="4"/>
        <v>81.5</v>
      </c>
      <c r="I78" s="22">
        <f t="shared" si="5"/>
        <v>94.03</v>
      </c>
      <c r="J78" s="20">
        <f t="shared" si="6"/>
        <v>12.530000000000001</v>
      </c>
      <c r="K78" s="14">
        <f t="shared" si="7"/>
        <v>81.5</v>
      </c>
      <c r="L78" s="14">
        <f t="shared" si="8"/>
        <v>94.03</v>
      </c>
      <c r="M78" s="14">
        <f t="shared" si="9"/>
        <v>12.530000000000001</v>
      </c>
      <c r="N78" s="23">
        <f t="shared" si="10"/>
        <v>1.6284375392813935</v>
      </c>
      <c r="O78" s="23">
        <f t="shared" si="11"/>
        <v>1.6284375392813935</v>
      </c>
      <c r="P78" s="28">
        <f t="shared" si="12"/>
        <v>5.5350929897392182E-2</v>
      </c>
      <c r="Q78" s="28">
        <f t="shared" si="13"/>
        <v>5.5350929897392182E-2</v>
      </c>
      <c r="R78" s="27">
        <f t="shared" si="14"/>
        <v>89.918646261795558</v>
      </c>
    </row>
    <row r="79" spans="2:18">
      <c r="B79" s="6">
        <v>85.94</v>
      </c>
      <c r="C79" s="6">
        <v>82.564999999999998</v>
      </c>
      <c r="D79" s="7">
        <f t="shared" si="15"/>
        <v>84.252499999999998</v>
      </c>
      <c r="E79" s="18">
        <f t="shared" si="1"/>
        <v>87.344999999999999</v>
      </c>
      <c r="F79" s="18">
        <f t="shared" si="2"/>
        <v>94.03</v>
      </c>
      <c r="G79" s="19">
        <f t="shared" si="3"/>
        <v>6.6850000000000023</v>
      </c>
      <c r="H79" s="21">
        <f t="shared" si="4"/>
        <v>81.5</v>
      </c>
      <c r="I79" s="22">
        <f t="shared" si="5"/>
        <v>92</v>
      </c>
      <c r="J79" s="20">
        <f t="shared" si="6"/>
        <v>10.5</v>
      </c>
      <c r="K79" s="14">
        <f t="shared" si="7"/>
        <v>81.5</v>
      </c>
      <c r="L79" s="14">
        <f t="shared" si="8"/>
        <v>94.03</v>
      </c>
      <c r="M79" s="14">
        <f t="shared" si="9"/>
        <v>12.530000000000001</v>
      </c>
      <c r="N79" s="23">
        <f t="shared" si="10"/>
        <v>1.4557634370504369</v>
      </c>
      <c r="O79" s="23">
        <f t="shared" si="11"/>
        <v>1.4557634370504369</v>
      </c>
      <c r="P79" s="28">
        <f t="shared" si="12"/>
        <v>0.12259510385980667</v>
      </c>
      <c r="Q79" s="28">
        <f t="shared" si="13"/>
        <v>0.12259510385980667</v>
      </c>
      <c r="R79" s="27">
        <f t="shared" si="14"/>
        <v>89.224004472345882</v>
      </c>
    </row>
    <row r="80" spans="2:18">
      <c r="B80" s="6">
        <v>99.375</v>
      </c>
      <c r="C80" s="6">
        <v>96.344999999999999</v>
      </c>
      <c r="D80" s="7">
        <f t="shared" si="15"/>
        <v>97.86</v>
      </c>
      <c r="E80" s="18">
        <f t="shared" si="1"/>
        <v>87.344999999999999</v>
      </c>
      <c r="F80" s="18">
        <f t="shared" si="2"/>
        <v>94.03</v>
      </c>
      <c r="G80" s="19">
        <f t="shared" si="3"/>
        <v>6.6850000000000023</v>
      </c>
      <c r="H80" s="21">
        <f t="shared" si="4"/>
        <v>81.5</v>
      </c>
      <c r="I80" s="22">
        <f t="shared" si="5"/>
        <v>99.375</v>
      </c>
      <c r="J80" s="20">
        <f t="shared" si="6"/>
        <v>17.875</v>
      </c>
      <c r="K80" s="14">
        <f t="shared" si="7"/>
        <v>81.5</v>
      </c>
      <c r="L80" s="14">
        <f t="shared" si="8"/>
        <v>99.375</v>
      </c>
      <c r="M80" s="14">
        <f t="shared" si="9"/>
        <v>17.875</v>
      </c>
      <c r="N80" s="23">
        <f t="shared" si="10"/>
        <v>1.4583673188170656</v>
      </c>
      <c r="O80" s="23">
        <f t="shared" si="11"/>
        <v>1.4583673188170656</v>
      </c>
      <c r="P80" s="28">
        <f t="shared" si="12"/>
        <v>0.12113380585607082</v>
      </c>
      <c r="Q80" s="28">
        <f t="shared" si="13"/>
        <v>0.12113380585607082</v>
      </c>
      <c r="R80" s="27">
        <f t="shared" si="14"/>
        <v>90.270115477966627</v>
      </c>
    </row>
    <row r="81" spans="2:18">
      <c r="B81" s="6">
        <v>103.28</v>
      </c>
      <c r="C81" s="6">
        <v>96.47</v>
      </c>
      <c r="D81" s="7">
        <f t="shared" si="15"/>
        <v>99.875</v>
      </c>
      <c r="E81" s="18">
        <f t="shared" si="1"/>
        <v>87.344999999999999</v>
      </c>
      <c r="F81" s="18">
        <f t="shared" si="2"/>
        <v>94.03</v>
      </c>
      <c r="G81" s="19">
        <f t="shared" si="3"/>
        <v>6.6850000000000023</v>
      </c>
      <c r="H81" s="21">
        <f t="shared" si="4"/>
        <v>81.5</v>
      </c>
      <c r="I81" s="22">
        <f t="shared" si="5"/>
        <v>103.28</v>
      </c>
      <c r="J81" s="20">
        <f t="shared" si="6"/>
        <v>21.78</v>
      </c>
      <c r="K81" s="14">
        <f t="shared" si="7"/>
        <v>81.5</v>
      </c>
      <c r="L81" s="14">
        <f t="shared" si="8"/>
        <v>103.28</v>
      </c>
      <c r="M81" s="14">
        <f t="shared" si="9"/>
        <v>21.78</v>
      </c>
      <c r="N81" s="23">
        <f t="shared" si="10"/>
        <v>1.3861851456742396</v>
      </c>
      <c r="O81" s="23">
        <f t="shared" si="11"/>
        <v>1.3861851456742396</v>
      </c>
      <c r="P81" s="28">
        <f t="shared" si="12"/>
        <v>0.16890002297680401</v>
      </c>
      <c r="Q81" s="28">
        <f t="shared" si="13"/>
        <v>0.16890002297680401</v>
      </c>
      <c r="R81" s="27">
        <f t="shared" si="14"/>
        <v>91.892380694427615</v>
      </c>
    </row>
    <row r="82" spans="2:18">
      <c r="B82" s="6">
        <v>105.375</v>
      </c>
      <c r="C82" s="6">
        <v>101.155</v>
      </c>
      <c r="D82" s="7">
        <f t="shared" si="15"/>
        <v>103.265</v>
      </c>
      <c r="E82" s="18">
        <f t="shared" si="1"/>
        <v>88.814999999999998</v>
      </c>
      <c r="F82" s="18">
        <f t="shared" si="2"/>
        <v>94.03</v>
      </c>
      <c r="G82" s="19">
        <f t="shared" si="3"/>
        <v>5.2150000000000034</v>
      </c>
      <c r="H82" s="21">
        <f t="shared" si="4"/>
        <v>81.5</v>
      </c>
      <c r="I82" s="22">
        <f t="shared" si="5"/>
        <v>105.375</v>
      </c>
      <c r="J82" s="20">
        <f t="shared" si="6"/>
        <v>23.875</v>
      </c>
      <c r="K82" s="14">
        <f t="shared" si="7"/>
        <v>81.5</v>
      </c>
      <c r="L82" s="14">
        <f t="shared" si="8"/>
        <v>105.375</v>
      </c>
      <c r="M82" s="14">
        <f t="shared" si="9"/>
        <v>23.875</v>
      </c>
      <c r="N82" s="23">
        <f t="shared" si="10"/>
        <v>1.2850225632898331</v>
      </c>
      <c r="O82" s="23">
        <f t="shared" si="11"/>
        <v>1.2850225632898331</v>
      </c>
      <c r="P82" s="28">
        <f t="shared" si="12"/>
        <v>0.26912551470242252</v>
      </c>
      <c r="Q82" s="28">
        <f t="shared" si="13"/>
        <v>0.26912551470242252</v>
      </c>
      <c r="R82" s="27">
        <f t="shared" si="14"/>
        <v>94.953042718554485</v>
      </c>
    </row>
    <row r="83" spans="2:18">
      <c r="B83" s="6">
        <v>107.625</v>
      </c>
      <c r="C83" s="6">
        <v>104.25</v>
      </c>
      <c r="D83" s="7">
        <f t="shared" si="15"/>
        <v>105.9375</v>
      </c>
      <c r="E83" s="18">
        <f t="shared" si="1"/>
        <v>86.75</v>
      </c>
      <c r="F83" s="18">
        <f t="shared" si="2"/>
        <v>94.03</v>
      </c>
      <c r="G83" s="19">
        <f t="shared" si="3"/>
        <v>7.2800000000000011</v>
      </c>
      <c r="H83" s="21">
        <f t="shared" si="4"/>
        <v>81.5</v>
      </c>
      <c r="I83" s="22">
        <f t="shared" si="5"/>
        <v>107.625</v>
      </c>
      <c r="J83" s="20">
        <f t="shared" si="6"/>
        <v>26.125</v>
      </c>
      <c r="K83" s="14">
        <f t="shared" si="7"/>
        <v>81.5</v>
      </c>
      <c r="L83" s="14">
        <f t="shared" si="8"/>
        <v>107.625</v>
      </c>
      <c r="M83" s="14">
        <f t="shared" si="9"/>
        <v>26.125</v>
      </c>
      <c r="N83" s="23">
        <f t="shared" si="10"/>
        <v>1.3546330216533387</v>
      </c>
      <c r="O83" s="23">
        <f t="shared" si="11"/>
        <v>1.3546330216533387</v>
      </c>
      <c r="P83" s="28">
        <f t="shared" si="12"/>
        <v>0.19531426187642179</v>
      </c>
      <c r="Q83" s="28">
        <f t="shared" si="13"/>
        <v>0.19531426187642179</v>
      </c>
      <c r="R83" s="27">
        <f t="shared" si="14"/>
        <v>97.098463884593102</v>
      </c>
    </row>
    <row r="84" spans="2:18">
      <c r="B84" s="6">
        <v>105.25</v>
      </c>
      <c r="C84" s="6">
        <v>101.75</v>
      </c>
      <c r="D84" s="7">
        <f t="shared" si="15"/>
        <v>103.5</v>
      </c>
      <c r="E84" s="18">
        <f t="shared" si="1"/>
        <v>85.064999999999998</v>
      </c>
      <c r="F84" s="18">
        <f t="shared" si="2"/>
        <v>94.03</v>
      </c>
      <c r="G84" s="19">
        <f t="shared" si="3"/>
        <v>8.9650000000000034</v>
      </c>
      <c r="H84" s="21">
        <f t="shared" si="4"/>
        <v>81.5</v>
      </c>
      <c r="I84" s="22">
        <f t="shared" si="5"/>
        <v>107.625</v>
      </c>
      <c r="J84" s="20">
        <f t="shared" si="6"/>
        <v>26.125</v>
      </c>
      <c r="K84" s="14">
        <f t="shared" si="7"/>
        <v>81.5</v>
      </c>
      <c r="L84" s="14">
        <f t="shared" si="8"/>
        <v>107.625</v>
      </c>
      <c r="M84" s="14">
        <f t="shared" si="9"/>
        <v>26.125</v>
      </c>
      <c r="N84" s="23">
        <f t="shared" si="10"/>
        <v>1.4256289105465594</v>
      </c>
      <c r="O84" s="23">
        <f t="shared" si="11"/>
        <v>1.4256289105465594</v>
      </c>
      <c r="P84" s="28">
        <f t="shared" si="12"/>
        <v>0.14084524153583103</v>
      </c>
      <c r="Q84" s="28">
        <f t="shared" si="13"/>
        <v>0.14084524153583103</v>
      </c>
      <c r="R84" s="27">
        <f t="shared" si="14"/>
        <v>98.000089784967926</v>
      </c>
    </row>
    <row r="85" spans="2:18">
      <c r="B85" s="6">
        <v>104.5</v>
      </c>
      <c r="C85" s="6">
        <v>101.72</v>
      </c>
      <c r="D85" s="7">
        <f t="shared" si="15"/>
        <v>103.11</v>
      </c>
      <c r="E85" s="18">
        <f t="shared" ref="E85:E148" si="16">MIN(C70:C77)</f>
        <v>82.03</v>
      </c>
      <c r="F85" s="18">
        <f t="shared" ref="F85:F148" si="17">MAX(B70:B77)</f>
        <v>94.03</v>
      </c>
      <c r="G85" s="19">
        <f t="shared" ref="G85:G148" si="18">F85-E85</f>
        <v>12</v>
      </c>
      <c r="H85" s="21">
        <f t="shared" ref="H85:H148" si="19">MIN(C78:C85)</f>
        <v>81.5</v>
      </c>
      <c r="I85" s="22">
        <f t="shared" ref="I85:I148" si="20">MAX(B78:B85)</f>
        <v>107.625</v>
      </c>
      <c r="J85" s="20">
        <f t="shared" ref="J85:J148" si="21">I85-H85</f>
        <v>26.125</v>
      </c>
      <c r="K85" s="14">
        <f t="shared" ref="K85:K148" si="22">MIN(C70:C85)</f>
        <v>81.5</v>
      </c>
      <c r="L85" s="14">
        <f t="shared" ref="L85:L148" si="23">MAX(B70:B85)</f>
        <v>107.625</v>
      </c>
      <c r="M85" s="14">
        <f t="shared" ref="M85:M148" si="24">L85-K85</f>
        <v>26.125</v>
      </c>
      <c r="N85" s="23">
        <f t="shared" ref="N85:N148" si="25">(LN((G85+J85)/8)-LN(M85/16))/LN(2)</f>
        <v>1.5453063003693659</v>
      </c>
      <c r="O85" s="23">
        <f t="shared" ref="O85:O148" si="26">MIN(MAX(N85,1),2)</f>
        <v>1.5453063003693659</v>
      </c>
      <c r="P85" s="28">
        <f t="shared" ref="P85:P148" si="27">EXP($N$2*(O85-1))</f>
        <v>8.1168477388181975E-2</v>
      </c>
      <c r="Q85" s="28">
        <f t="shared" ref="Q85:Q148" si="28">MIN(MAX(P85,$M$2),1)</f>
        <v>8.1168477388181975E-2</v>
      </c>
      <c r="R85" s="27">
        <f t="shared" ref="R85:R148" si="29">R84+(D85-R84)*Q85</f>
        <v>98.414853416712404</v>
      </c>
    </row>
    <row r="86" spans="2:18">
      <c r="B86" s="6">
        <v>105.5</v>
      </c>
      <c r="C86" s="6">
        <v>101.72</v>
      </c>
      <c r="D86" s="7">
        <f t="shared" si="15"/>
        <v>103.61</v>
      </c>
      <c r="E86" s="18">
        <f t="shared" si="16"/>
        <v>81.5</v>
      </c>
      <c r="F86" s="18">
        <f t="shared" si="17"/>
        <v>94.03</v>
      </c>
      <c r="G86" s="19">
        <f t="shared" si="18"/>
        <v>12.530000000000001</v>
      </c>
      <c r="H86" s="21">
        <f t="shared" si="19"/>
        <v>82.564999999999998</v>
      </c>
      <c r="I86" s="22">
        <f t="shared" si="20"/>
        <v>107.625</v>
      </c>
      <c r="J86" s="20">
        <f t="shared" si="21"/>
        <v>25.060000000000002</v>
      </c>
      <c r="K86" s="14">
        <f t="shared" si="22"/>
        <v>81.5</v>
      </c>
      <c r="L86" s="14">
        <f t="shared" si="23"/>
        <v>107.625</v>
      </c>
      <c r="M86" s="14">
        <f t="shared" si="24"/>
        <v>26.125</v>
      </c>
      <c r="N86" s="23">
        <f t="shared" si="25"/>
        <v>1.5249178781874095</v>
      </c>
      <c r="O86" s="23">
        <f t="shared" si="26"/>
        <v>1.5249178781874095</v>
      </c>
      <c r="P86" s="28">
        <f t="shared" si="27"/>
        <v>8.9158805954422202E-2</v>
      </c>
      <c r="Q86" s="28">
        <f t="shared" si="28"/>
        <v>8.9158805954422202E-2</v>
      </c>
      <c r="R86" s="27">
        <f t="shared" si="29"/>
        <v>98.878046482836524</v>
      </c>
    </row>
    <row r="87" spans="2:18">
      <c r="B87" s="6">
        <v>106.125</v>
      </c>
      <c r="C87" s="6">
        <v>103.155</v>
      </c>
      <c r="D87" s="7">
        <f t="shared" si="15"/>
        <v>104.64</v>
      </c>
      <c r="E87" s="18">
        <f t="shared" si="16"/>
        <v>81.5</v>
      </c>
      <c r="F87" s="18">
        <f t="shared" si="17"/>
        <v>92</v>
      </c>
      <c r="G87" s="19">
        <f t="shared" si="18"/>
        <v>10.5</v>
      </c>
      <c r="H87" s="21">
        <f t="shared" si="19"/>
        <v>96.344999999999999</v>
      </c>
      <c r="I87" s="22">
        <f t="shared" si="20"/>
        <v>107.625</v>
      </c>
      <c r="J87" s="20">
        <f t="shared" si="21"/>
        <v>11.280000000000001</v>
      </c>
      <c r="K87" s="14">
        <f t="shared" si="22"/>
        <v>81.5</v>
      </c>
      <c r="L87" s="14">
        <f t="shared" si="23"/>
        <v>107.625</v>
      </c>
      <c r="M87" s="14">
        <f t="shared" si="24"/>
        <v>26.125</v>
      </c>
      <c r="N87" s="23">
        <f t="shared" si="25"/>
        <v>0.73757291686129955</v>
      </c>
      <c r="O87" s="23">
        <f t="shared" si="26"/>
        <v>1</v>
      </c>
      <c r="P87" s="28">
        <f t="shared" si="27"/>
        <v>1</v>
      </c>
      <c r="Q87" s="28">
        <f t="shared" si="28"/>
        <v>1</v>
      </c>
      <c r="R87" s="27">
        <f t="shared" si="29"/>
        <v>104.64</v>
      </c>
    </row>
    <row r="88" spans="2:18">
      <c r="B88" s="6">
        <v>107.94</v>
      </c>
      <c r="C88" s="6">
        <v>105.69</v>
      </c>
      <c r="D88" s="7">
        <f t="shared" si="15"/>
        <v>106.815</v>
      </c>
      <c r="E88" s="18">
        <f t="shared" si="16"/>
        <v>81.5</v>
      </c>
      <c r="F88" s="18">
        <f t="shared" si="17"/>
        <v>99.375</v>
      </c>
      <c r="G88" s="19">
        <f t="shared" si="18"/>
        <v>17.875</v>
      </c>
      <c r="H88" s="21">
        <f t="shared" si="19"/>
        <v>96.47</v>
      </c>
      <c r="I88" s="22">
        <f t="shared" si="20"/>
        <v>107.94</v>
      </c>
      <c r="J88" s="20">
        <f t="shared" si="21"/>
        <v>11.469999999999999</v>
      </c>
      <c r="K88" s="14">
        <f t="shared" si="22"/>
        <v>81.5</v>
      </c>
      <c r="L88" s="14">
        <f t="shared" si="23"/>
        <v>107.94</v>
      </c>
      <c r="M88" s="14">
        <f t="shared" si="24"/>
        <v>26.439999999999998</v>
      </c>
      <c r="N88" s="23">
        <f t="shared" si="25"/>
        <v>1.1503925312696226</v>
      </c>
      <c r="O88" s="23">
        <f t="shared" si="26"/>
        <v>1.1503925312696226</v>
      </c>
      <c r="P88" s="28">
        <f t="shared" si="27"/>
        <v>0.50028206921402996</v>
      </c>
      <c r="Q88" s="28">
        <f t="shared" si="28"/>
        <v>0.50028206921402996</v>
      </c>
      <c r="R88" s="27">
        <f t="shared" si="29"/>
        <v>105.72811350054052</v>
      </c>
    </row>
    <row r="89" spans="2:18">
      <c r="B89" s="6">
        <v>106.25</v>
      </c>
      <c r="C89" s="6">
        <v>103.655</v>
      </c>
      <c r="D89" s="7">
        <f t="shared" si="15"/>
        <v>104.9525</v>
      </c>
      <c r="E89" s="18">
        <f t="shared" si="16"/>
        <v>81.5</v>
      </c>
      <c r="F89" s="18">
        <f t="shared" si="17"/>
        <v>103.28</v>
      </c>
      <c r="G89" s="19">
        <f t="shared" si="18"/>
        <v>21.78</v>
      </c>
      <c r="H89" s="21">
        <f t="shared" si="19"/>
        <v>101.155</v>
      </c>
      <c r="I89" s="22">
        <f t="shared" si="20"/>
        <v>107.94</v>
      </c>
      <c r="J89" s="20">
        <f t="shared" si="21"/>
        <v>6.7849999999999966</v>
      </c>
      <c r="K89" s="14">
        <f t="shared" si="22"/>
        <v>81.5</v>
      </c>
      <c r="L89" s="14">
        <f t="shared" si="23"/>
        <v>107.94</v>
      </c>
      <c r="M89" s="14">
        <f t="shared" si="24"/>
        <v>26.439999999999998</v>
      </c>
      <c r="N89" s="23">
        <f t="shared" si="25"/>
        <v>1.1115263530762567</v>
      </c>
      <c r="O89" s="23">
        <f t="shared" si="26"/>
        <v>1.1115263530762567</v>
      </c>
      <c r="P89" s="28">
        <f t="shared" si="27"/>
        <v>0.59833897599575692</v>
      </c>
      <c r="Q89" s="28">
        <f t="shared" si="28"/>
        <v>0.59833897599575692</v>
      </c>
      <c r="R89" s="27">
        <f t="shared" si="29"/>
        <v>105.26403371285862</v>
      </c>
    </row>
    <row r="90" spans="2:18">
      <c r="B90" s="6">
        <v>107</v>
      </c>
      <c r="C90" s="6">
        <v>104</v>
      </c>
      <c r="D90" s="7">
        <f t="shared" si="15"/>
        <v>105.5</v>
      </c>
      <c r="E90" s="18">
        <f t="shared" si="16"/>
        <v>81.5</v>
      </c>
      <c r="F90" s="18">
        <f t="shared" si="17"/>
        <v>105.375</v>
      </c>
      <c r="G90" s="19">
        <f t="shared" si="18"/>
        <v>23.875</v>
      </c>
      <c r="H90" s="21">
        <f t="shared" si="19"/>
        <v>101.72</v>
      </c>
      <c r="I90" s="22">
        <f t="shared" si="20"/>
        <v>107.94</v>
      </c>
      <c r="J90" s="20">
        <f t="shared" si="21"/>
        <v>6.2199999999999989</v>
      </c>
      <c r="K90" s="14">
        <f t="shared" si="22"/>
        <v>81.5</v>
      </c>
      <c r="L90" s="14">
        <f t="shared" si="23"/>
        <v>107.94</v>
      </c>
      <c r="M90" s="14">
        <f t="shared" si="24"/>
        <v>26.439999999999998</v>
      </c>
      <c r="N90" s="23">
        <f t="shared" si="25"/>
        <v>1.1868016398936367</v>
      </c>
      <c r="O90" s="23">
        <f t="shared" si="26"/>
        <v>1.1868016398936367</v>
      </c>
      <c r="P90" s="28">
        <f t="shared" si="27"/>
        <v>0.42305489085845699</v>
      </c>
      <c r="Q90" s="28">
        <f t="shared" si="28"/>
        <v>0.42305489085845699</v>
      </c>
      <c r="R90" s="27">
        <f t="shared" si="29"/>
        <v>105.36386040471149</v>
      </c>
    </row>
    <row r="91" spans="2:18">
      <c r="B91" s="6">
        <v>108.75</v>
      </c>
      <c r="C91" s="6">
        <v>105.53</v>
      </c>
      <c r="D91" s="7">
        <f t="shared" si="15"/>
        <v>107.14</v>
      </c>
      <c r="E91" s="18">
        <f t="shared" si="16"/>
        <v>81.5</v>
      </c>
      <c r="F91" s="18">
        <f t="shared" si="17"/>
        <v>107.625</v>
      </c>
      <c r="G91" s="19">
        <f t="shared" si="18"/>
        <v>26.125</v>
      </c>
      <c r="H91" s="21">
        <f t="shared" si="19"/>
        <v>101.72</v>
      </c>
      <c r="I91" s="22">
        <f t="shared" si="20"/>
        <v>108.75</v>
      </c>
      <c r="J91" s="20">
        <f t="shared" si="21"/>
        <v>7.0300000000000011</v>
      </c>
      <c r="K91" s="14">
        <f t="shared" si="22"/>
        <v>81.5</v>
      </c>
      <c r="L91" s="14">
        <f t="shared" si="23"/>
        <v>108.75</v>
      </c>
      <c r="M91" s="14">
        <f t="shared" si="24"/>
        <v>27.25</v>
      </c>
      <c r="N91" s="23">
        <f t="shared" si="25"/>
        <v>1.2829702251015866</v>
      </c>
      <c r="O91" s="23">
        <f t="shared" si="26"/>
        <v>1.2829702251015866</v>
      </c>
      <c r="P91" s="28">
        <f t="shared" si="27"/>
        <v>0.27168117683853016</v>
      </c>
      <c r="Q91" s="28">
        <f t="shared" si="28"/>
        <v>0.27168117683853016</v>
      </c>
      <c r="R91" s="27">
        <f t="shared" si="29"/>
        <v>105.84640410018898</v>
      </c>
    </row>
    <row r="92" spans="2:18">
      <c r="B92" s="6">
        <v>110.94</v>
      </c>
      <c r="C92" s="6">
        <v>108.53</v>
      </c>
      <c r="D92" s="7">
        <f t="shared" si="15"/>
        <v>109.735</v>
      </c>
      <c r="E92" s="18">
        <f t="shared" si="16"/>
        <v>81.5</v>
      </c>
      <c r="F92" s="18">
        <f t="shared" si="17"/>
        <v>107.625</v>
      </c>
      <c r="G92" s="19">
        <f t="shared" si="18"/>
        <v>26.125</v>
      </c>
      <c r="H92" s="21">
        <f t="shared" si="19"/>
        <v>101.72</v>
      </c>
      <c r="I92" s="22">
        <f t="shared" si="20"/>
        <v>110.94</v>
      </c>
      <c r="J92" s="20">
        <f t="shared" si="21"/>
        <v>9.2199999999999989</v>
      </c>
      <c r="K92" s="14">
        <f t="shared" si="22"/>
        <v>81.5</v>
      </c>
      <c r="L92" s="14">
        <f t="shared" si="23"/>
        <v>110.94</v>
      </c>
      <c r="M92" s="14">
        <f t="shared" si="24"/>
        <v>29.439999999999998</v>
      </c>
      <c r="N92" s="23">
        <f t="shared" si="25"/>
        <v>1.2637284705025684</v>
      </c>
      <c r="O92" s="23">
        <f t="shared" si="26"/>
        <v>1.2637284705025684</v>
      </c>
      <c r="P92" s="28">
        <f t="shared" si="27"/>
        <v>0.29685410508118043</v>
      </c>
      <c r="Q92" s="28">
        <f t="shared" si="28"/>
        <v>0.29685410508118043</v>
      </c>
      <c r="R92" s="27">
        <f t="shared" si="29"/>
        <v>107.00074975604973</v>
      </c>
    </row>
    <row r="93" spans="2:18">
      <c r="B93" s="6">
        <v>110.94</v>
      </c>
      <c r="C93" s="6">
        <v>108.75</v>
      </c>
      <c r="D93" s="7">
        <f t="shared" si="15"/>
        <v>109.845</v>
      </c>
      <c r="E93" s="18">
        <f t="shared" si="16"/>
        <v>81.5</v>
      </c>
      <c r="F93" s="18">
        <f t="shared" si="17"/>
        <v>107.625</v>
      </c>
      <c r="G93" s="19">
        <f t="shared" si="18"/>
        <v>26.125</v>
      </c>
      <c r="H93" s="21">
        <f t="shared" si="19"/>
        <v>101.72</v>
      </c>
      <c r="I93" s="22">
        <f t="shared" si="20"/>
        <v>110.94</v>
      </c>
      <c r="J93" s="20">
        <f t="shared" si="21"/>
        <v>9.2199999999999989</v>
      </c>
      <c r="K93" s="14">
        <f t="shared" si="22"/>
        <v>81.5</v>
      </c>
      <c r="L93" s="14">
        <f t="shared" si="23"/>
        <v>110.94</v>
      </c>
      <c r="M93" s="14">
        <f t="shared" si="24"/>
        <v>29.439999999999998</v>
      </c>
      <c r="N93" s="23">
        <f t="shared" si="25"/>
        <v>1.2637284705025684</v>
      </c>
      <c r="O93" s="23">
        <f t="shared" si="26"/>
        <v>1.2637284705025684</v>
      </c>
      <c r="P93" s="28">
        <f t="shared" si="27"/>
        <v>0.29685410508118043</v>
      </c>
      <c r="Q93" s="28">
        <f t="shared" si="28"/>
        <v>0.29685410508118043</v>
      </c>
      <c r="R93" s="27">
        <f t="shared" si="29"/>
        <v>107.84507711684452</v>
      </c>
    </row>
    <row r="94" spans="2:18">
      <c r="B94" s="6">
        <v>114.22</v>
      </c>
      <c r="C94" s="6">
        <v>107.75</v>
      </c>
      <c r="D94" s="7">
        <f t="shared" si="15"/>
        <v>110.985</v>
      </c>
      <c r="E94" s="18">
        <f t="shared" si="16"/>
        <v>82.564999999999998</v>
      </c>
      <c r="F94" s="18">
        <f t="shared" si="17"/>
        <v>107.625</v>
      </c>
      <c r="G94" s="19">
        <f t="shared" si="18"/>
        <v>25.060000000000002</v>
      </c>
      <c r="H94" s="21">
        <f t="shared" si="19"/>
        <v>103.155</v>
      </c>
      <c r="I94" s="22">
        <f t="shared" si="20"/>
        <v>114.22</v>
      </c>
      <c r="J94" s="20">
        <f t="shared" si="21"/>
        <v>11.064999999999998</v>
      </c>
      <c r="K94" s="14">
        <f t="shared" si="22"/>
        <v>82.564999999999998</v>
      </c>
      <c r="L94" s="14">
        <f t="shared" si="23"/>
        <v>114.22</v>
      </c>
      <c r="M94" s="14">
        <f t="shared" si="24"/>
        <v>31.655000000000001</v>
      </c>
      <c r="N94" s="23">
        <f t="shared" si="25"/>
        <v>1.1905641920519694</v>
      </c>
      <c r="O94" s="23">
        <f t="shared" si="26"/>
        <v>1.1905641920519694</v>
      </c>
      <c r="P94" s="28">
        <f t="shared" si="27"/>
        <v>0.41578767911527953</v>
      </c>
      <c r="Q94" s="28">
        <f t="shared" si="28"/>
        <v>0.41578767911527953</v>
      </c>
      <c r="R94" s="27">
        <f t="shared" si="29"/>
        <v>109.1506183650327</v>
      </c>
    </row>
    <row r="95" spans="2:18">
      <c r="B95" s="6">
        <v>123</v>
      </c>
      <c r="C95" s="6">
        <v>117</v>
      </c>
      <c r="D95" s="7">
        <f t="shared" si="15"/>
        <v>120</v>
      </c>
      <c r="E95" s="18">
        <f t="shared" si="16"/>
        <v>96.344999999999999</v>
      </c>
      <c r="F95" s="18">
        <f t="shared" si="17"/>
        <v>107.625</v>
      </c>
      <c r="G95" s="19">
        <f t="shared" si="18"/>
        <v>11.280000000000001</v>
      </c>
      <c r="H95" s="21">
        <f t="shared" si="19"/>
        <v>103.655</v>
      </c>
      <c r="I95" s="22">
        <f t="shared" si="20"/>
        <v>123</v>
      </c>
      <c r="J95" s="20">
        <f t="shared" si="21"/>
        <v>19.344999999999999</v>
      </c>
      <c r="K95" s="14">
        <f t="shared" si="22"/>
        <v>96.344999999999999</v>
      </c>
      <c r="L95" s="14">
        <f t="shared" si="23"/>
        <v>123</v>
      </c>
      <c r="M95" s="14">
        <f t="shared" si="24"/>
        <v>26.655000000000001</v>
      </c>
      <c r="N95" s="23">
        <f t="shared" si="25"/>
        <v>1.2003036620274607</v>
      </c>
      <c r="O95" s="23">
        <f t="shared" si="26"/>
        <v>1.2003036620274607</v>
      </c>
      <c r="P95" s="28">
        <f t="shared" si="27"/>
        <v>0.39755084046990963</v>
      </c>
      <c r="Q95" s="28">
        <f t="shared" si="28"/>
        <v>0.39755084046990963</v>
      </c>
      <c r="R95" s="27">
        <f t="shared" si="29"/>
        <v>113.46379915259276</v>
      </c>
    </row>
    <row r="96" spans="2:18">
      <c r="B96" s="6">
        <v>121.75</v>
      </c>
      <c r="C96" s="6">
        <v>118</v>
      </c>
      <c r="D96" s="7">
        <f t="shared" si="15"/>
        <v>119.875</v>
      </c>
      <c r="E96" s="18">
        <f t="shared" si="16"/>
        <v>96.47</v>
      </c>
      <c r="F96" s="18">
        <f t="shared" si="17"/>
        <v>107.94</v>
      </c>
      <c r="G96" s="19">
        <f t="shared" si="18"/>
        <v>11.469999999999999</v>
      </c>
      <c r="H96" s="21">
        <f t="shared" si="19"/>
        <v>103.655</v>
      </c>
      <c r="I96" s="22">
        <f t="shared" si="20"/>
        <v>123</v>
      </c>
      <c r="J96" s="20">
        <f t="shared" si="21"/>
        <v>19.344999999999999</v>
      </c>
      <c r="K96" s="14">
        <f t="shared" si="22"/>
        <v>96.47</v>
      </c>
      <c r="L96" s="14">
        <f t="shared" si="23"/>
        <v>123</v>
      </c>
      <c r="M96" s="14">
        <f t="shared" si="24"/>
        <v>26.53</v>
      </c>
      <c r="N96" s="23">
        <f t="shared" si="25"/>
        <v>1.2160081155399136</v>
      </c>
      <c r="O96" s="23">
        <f t="shared" si="26"/>
        <v>1.2160081155399136</v>
      </c>
      <c r="P96" s="28">
        <f t="shared" si="27"/>
        <v>0.36981435828635162</v>
      </c>
      <c r="Q96" s="28">
        <f t="shared" si="28"/>
        <v>0.36981435828635162</v>
      </c>
      <c r="R96" s="27">
        <f t="shared" si="29"/>
        <v>115.83475327982158</v>
      </c>
    </row>
    <row r="97" spans="2:18">
      <c r="B97" s="6">
        <v>119.815</v>
      </c>
      <c r="C97" s="6">
        <v>116</v>
      </c>
      <c r="D97" s="7">
        <f t="shared" si="15"/>
        <v>117.9075</v>
      </c>
      <c r="E97" s="18">
        <f t="shared" si="16"/>
        <v>101.155</v>
      </c>
      <c r="F97" s="18">
        <f t="shared" si="17"/>
        <v>107.94</v>
      </c>
      <c r="G97" s="19">
        <f t="shared" si="18"/>
        <v>6.7849999999999966</v>
      </c>
      <c r="H97" s="21">
        <f t="shared" si="19"/>
        <v>104</v>
      </c>
      <c r="I97" s="22">
        <f t="shared" si="20"/>
        <v>123</v>
      </c>
      <c r="J97" s="20">
        <f t="shared" si="21"/>
        <v>19</v>
      </c>
      <c r="K97" s="14">
        <f t="shared" si="22"/>
        <v>101.155</v>
      </c>
      <c r="L97" s="14">
        <f t="shared" si="23"/>
        <v>123</v>
      </c>
      <c r="M97" s="14">
        <f t="shared" si="24"/>
        <v>21.844999999999999</v>
      </c>
      <c r="N97" s="23">
        <f t="shared" si="25"/>
        <v>1.2392289397549998</v>
      </c>
      <c r="O97" s="23">
        <f t="shared" si="26"/>
        <v>1.2392289397549998</v>
      </c>
      <c r="P97" s="28">
        <f t="shared" si="27"/>
        <v>0.33230901297427712</v>
      </c>
      <c r="Q97" s="28">
        <f t="shared" si="28"/>
        <v>0.33230901297427712</v>
      </c>
      <c r="R97" s="27">
        <f t="shared" si="29"/>
        <v>116.52354569654975</v>
      </c>
    </row>
    <row r="98" spans="2:18">
      <c r="B98" s="6">
        <v>120.315</v>
      </c>
      <c r="C98" s="6">
        <v>118.5</v>
      </c>
      <c r="D98" s="7">
        <f t="shared" si="15"/>
        <v>119.4075</v>
      </c>
      <c r="E98" s="18">
        <f t="shared" si="16"/>
        <v>101.72</v>
      </c>
      <c r="F98" s="18">
        <f t="shared" si="17"/>
        <v>107.94</v>
      </c>
      <c r="G98" s="19">
        <f t="shared" si="18"/>
        <v>6.2199999999999989</v>
      </c>
      <c r="H98" s="21">
        <f t="shared" si="19"/>
        <v>105.53</v>
      </c>
      <c r="I98" s="22">
        <f t="shared" si="20"/>
        <v>123</v>
      </c>
      <c r="J98" s="20">
        <f t="shared" si="21"/>
        <v>17.47</v>
      </c>
      <c r="K98" s="14">
        <f t="shared" si="22"/>
        <v>101.72</v>
      </c>
      <c r="L98" s="14">
        <f t="shared" si="23"/>
        <v>123</v>
      </c>
      <c r="M98" s="14">
        <f t="shared" si="24"/>
        <v>21.28</v>
      </c>
      <c r="N98" s="23">
        <f t="shared" si="25"/>
        <v>1.1547800477390413</v>
      </c>
      <c r="O98" s="23">
        <f t="shared" si="26"/>
        <v>1.1547800477390413</v>
      </c>
      <c r="P98" s="28">
        <f t="shared" si="27"/>
        <v>0.49027517629389455</v>
      </c>
      <c r="Q98" s="28">
        <f t="shared" si="28"/>
        <v>0.49027517629389455</v>
      </c>
      <c r="R98" s="27">
        <f t="shared" si="29"/>
        <v>117.93747690109736</v>
      </c>
    </row>
    <row r="99" spans="2:18">
      <c r="B99" s="6">
        <v>119.375</v>
      </c>
      <c r="C99" s="6">
        <v>116.53</v>
      </c>
      <c r="D99" s="7">
        <f t="shared" si="15"/>
        <v>117.9525</v>
      </c>
      <c r="E99" s="18">
        <f t="shared" si="16"/>
        <v>101.72</v>
      </c>
      <c r="F99" s="18">
        <f t="shared" si="17"/>
        <v>108.75</v>
      </c>
      <c r="G99" s="19">
        <f t="shared" si="18"/>
        <v>7.0300000000000011</v>
      </c>
      <c r="H99" s="21">
        <f t="shared" si="19"/>
        <v>107.75</v>
      </c>
      <c r="I99" s="22">
        <f t="shared" si="20"/>
        <v>123</v>
      </c>
      <c r="J99" s="20">
        <f t="shared" si="21"/>
        <v>15.25</v>
      </c>
      <c r="K99" s="14">
        <f t="shared" si="22"/>
        <v>101.72</v>
      </c>
      <c r="L99" s="14">
        <f t="shared" si="23"/>
        <v>123</v>
      </c>
      <c r="M99" s="14">
        <f t="shared" si="24"/>
        <v>21.28</v>
      </c>
      <c r="N99" s="23">
        <f t="shared" si="25"/>
        <v>1.0662510818388422</v>
      </c>
      <c r="O99" s="23">
        <f t="shared" si="26"/>
        <v>1.0662510818388422</v>
      </c>
      <c r="P99" s="28">
        <f t="shared" si="27"/>
        <v>0.73705150329988434</v>
      </c>
      <c r="Q99" s="28">
        <f t="shared" si="28"/>
        <v>0.73705150329988434</v>
      </c>
      <c r="R99" s="27">
        <f t="shared" si="29"/>
        <v>117.94854969872777</v>
      </c>
    </row>
    <row r="100" spans="2:18">
      <c r="B100" s="6">
        <v>118.19</v>
      </c>
      <c r="C100" s="6">
        <v>116.25</v>
      </c>
      <c r="D100" s="7">
        <f t="shared" si="15"/>
        <v>117.22</v>
      </c>
      <c r="E100" s="18">
        <f t="shared" si="16"/>
        <v>101.72</v>
      </c>
      <c r="F100" s="18">
        <f t="shared" si="17"/>
        <v>110.94</v>
      </c>
      <c r="G100" s="19">
        <f t="shared" si="18"/>
        <v>9.2199999999999989</v>
      </c>
      <c r="H100" s="21">
        <f t="shared" si="19"/>
        <v>107.75</v>
      </c>
      <c r="I100" s="22">
        <f t="shared" si="20"/>
        <v>123</v>
      </c>
      <c r="J100" s="20">
        <f t="shared" si="21"/>
        <v>15.25</v>
      </c>
      <c r="K100" s="14">
        <f t="shared" si="22"/>
        <v>101.72</v>
      </c>
      <c r="L100" s="14">
        <f t="shared" si="23"/>
        <v>123</v>
      </c>
      <c r="M100" s="14">
        <f t="shared" si="24"/>
        <v>21.28</v>
      </c>
      <c r="N100" s="23">
        <f t="shared" si="25"/>
        <v>1.2015159505781998</v>
      </c>
      <c r="O100" s="23">
        <f t="shared" si="26"/>
        <v>1.2015159505781998</v>
      </c>
      <c r="P100" s="28">
        <f t="shared" si="27"/>
        <v>0.39533757942937503</v>
      </c>
      <c r="Q100" s="28">
        <f t="shared" si="28"/>
        <v>0.39533757942937503</v>
      </c>
      <c r="R100" s="27">
        <f t="shared" si="29"/>
        <v>117.66052662433873</v>
      </c>
    </row>
    <row r="101" spans="2:18">
      <c r="B101" s="6">
        <v>116.69</v>
      </c>
      <c r="C101" s="6">
        <v>114.595</v>
      </c>
      <c r="D101" s="7">
        <f t="shared" si="15"/>
        <v>115.6425</v>
      </c>
      <c r="E101" s="18">
        <f t="shared" si="16"/>
        <v>101.72</v>
      </c>
      <c r="F101" s="18">
        <f t="shared" si="17"/>
        <v>110.94</v>
      </c>
      <c r="G101" s="19">
        <f t="shared" si="18"/>
        <v>9.2199999999999989</v>
      </c>
      <c r="H101" s="21">
        <f t="shared" si="19"/>
        <v>107.75</v>
      </c>
      <c r="I101" s="22">
        <f t="shared" si="20"/>
        <v>123</v>
      </c>
      <c r="J101" s="20">
        <f t="shared" si="21"/>
        <v>15.25</v>
      </c>
      <c r="K101" s="14">
        <f t="shared" si="22"/>
        <v>101.72</v>
      </c>
      <c r="L101" s="14">
        <f t="shared" si="23"/>
        <v>123</v>
      </c>
      <c r="M101" s="14">
        <f t="shared" si="24"/>
        <v>21.28</v>
      </c>
      <c r="N101" s="23">
        <f t="shared" si="25"/>
        <v>1.2015159505781998</v>
      </c>
      <c r="O101" s="23">
        <f t="shared" si="26"/>
        <v>1.2015159505781998</v>
      </c>
      <c r="P101" s="28">
        <f t="shared" si="27"/>
        <v>0.39533757942937503</v>
      </c>
      <c r="Q101" s="28">
        <f t="shared" si="28"/>
        <v>0.39533757942937503</v>
      </c>
      <c r="R101" s="27">
        <f t="shared" si="29"/>
        <v>116.86272486344862</v>
      </c>
    </row>
    <row r="102" spans="2:18">
      <c r="B102" s="6">
        <v>115.345</v>
      </c>
      <c r="C102" s="6">
        <v>110.875</v>
      </c>
      <c r="D102" s="7">
        <f t="shared" si="15"/>
        <v>113.11</v>
      </c>
      <c r="E102" s="18">
        <f t="shared" si="16"/>
        <v>103.155</v>
      </c>
      <c r="F102" s="18">
        <f t="shared" si="17"/>
        <v>114.22</v>
      </c>
      <c r="G102" s="19">
        <f t="shared" si="18"/>
        <v>11.064999999999998</v>
      </c>
      <c r="H102" s="21">
        <f t="shared" si="19"/>
        <v>110.875</v>
      </c>
      <c r="I102" s="22">
        <f t="shared" si="20"/>
        <v>123</v>
      </c>
      <c r="J102" s="20">
        <f t="shared" si="21"/>
        <v>12.125</v>
      </c>
      <c r="K102" s="14">
        <f t="shared" si="22"/>
        <v>103.155</v>
      </c>
      <c r="L102" s="14">
        <f t="shared" si="23"/>
        <v>123</v>
      </c>
      <c r="M102" s="14">
        <f t="shared" si="24"/>
        <v>19.844999999999999</v>
      </c>
      <c r="N102" s="23">
        <f t="shared" si="25"/>
        <v>1.2247272576461707</v>
      </c>
      <c r="O102" s="23">
        <f t="shared" si="26"/>
        <v>1.2247272576461707</v>
      </c>
      <c r="P102" s="28">
        <f t="shared" si="27"/>
        <v>0.35525932369906937</v>
      </c>
      <c r="Q102" s="28">
        <f t="shared" si="28"/>
        <v>0.35525932369906937</v>
      </c>
      <c r="R102" s="27">
        <f t="shared" si="29"/>
        <v>115.52953436643118</v>
      </c>
    </row>
    <row r="103" spans="2:18">
      <c r="B103" s="6">
        <v>113</v>
      </c>
      <c r="C103" s="6">
        <v>110.5</v>
      </c>
      <c r="D103" s="7">
        <f t="shared" si="15"/>
        <v>111.75</v>
      </c>
      <c r="E103" s="18">
        <f t="shared" si="16"/>
        <v>103.655</v>
      </c>
      <c r="F103" s="18">
        <f t="shared" si="17"/>
        <v>123</v>
      </c>
      <c r="G103" s="19">
        <f t="shared" si="18"/>
        <v>19.344999999999999</v>
      </c>
      <c r="H103" s="21">
        <f t="shared" si="19"/>
        <v>110.5</v>
      </c>
      <c r="I103" s="22">
        <f t="shared" si="20"/>
        <v>121.75</v>
      </c>
      <c r="J103" s="20">
        <f t="shared" si="21"/>
        <v>11.25</v>
      </c>
      <c r="K103" s="14">
        <f t="shared" si="22"/>
        <v>103.655</v>
      </c>
      <c r="L103" s="14">
        <f t="shared" si="23"/>
        <v>123</v>
      </c>
      <c r="M103" s="14">
        <f t="shared" si="24"/>
        <v>19.344999999999999</v>
      </c>
      <c r="N103" s="23">
        <f t="shared" si="25"/>
        <v>1.6613351703915409</v>
      </c>
      <c r="O103" s="23">
        <f t="shared" si="26"/>
        <v>1.6613351703915409</v>
      </c>
      <c r="P103" s="28">
        <f t="shared" si="27"/>
        <v>4.7569617486671066E-2</v>
      </c>
      <c r="Q103" s="28">
        <f t="shared" si="28"/>
        <v>4.7569617486671066E-2</v>
      </c>
      <c r="R103" s="27">
        <f t="shared" si="29"/>
        <v>115.34974336234232</v>
      </c>
    </row>
    <row r="104" spans="2:18">
      <c r="B104" s="6">
        <v>118.315</v>
      </c>
      <c r="C104" s="6">
        <v>110.72</v>
      </c>
      <c r="D104" s="7">
        <f t="shared" si="15"/>
        <v>114.5175</v>
      </c>
      <c r="E104" s="18">
        <f t="shared" si="16"/>
        <v>103.655</v>
      </c>
      <c r="F104" s="18">
        <f t="shared" si="17"/>
        <v>123</v>
      </c>
      <c r="G104" s="19">
        <f t="shared" si="18"/>
        <v>19.344999999999999</v>
      </c>
      <c r="H104" s="21">
        <f t="shared" si="19"/>
        <v>110.5</v>
      </c>
      <c r="I104" s="22">
        <f t="shared" si="20"/>
        <v>120.315</v>
      </c>
      <c r="J104" s="20">
        <f t="shared" si="21"/>
        <v>9.8149999999999977</v>
      </c>
      <c r="K104" s="14">
        <f t="shared" si="22"/>
        <v>103.655</v>
      </c>
      <c r="L104" s="14">
        <f t="shared" si="23"/>
        <v>123</v>
      </c>
      <c r="M104" s="14">
        <f t="shared" si="24"/>
        <v>19.344999999999999</v>
      </c>
      <c r="N104" s="23">
        <f t="shared" si="25"/>
        <v>1.5920299908837205</v>
      </c>
      <c r="O104" s="23">
        <f t="shared" si="26"/>
        <v>1.5920299908837205</v>
      </c>
      <c r="P104" s="28">
        <f t="shared" si="27"/>
        <v>6.5454576646386056E-2</v>
      </c>
      <c r="Q104" s="28">
        <f t="shared" si="28"/>
        <v>6.5454576646386056E-2</v>
      </c>
      <c r="R104" s="27">
        <f t="shared" si="29"/>
        <v>115.29526922539344</v>
      </c>
    </row>
    <row r="105" spans="2:18">
      <c r="B105" s="6">
        <v>116.87</v>
      </c>
      <c r="C105" s="6">
        <v>112.62</v>
      </c>
      <c r="D105" s="7">
        <f t="shared" si="15"/>
        <v>114.745</v>
      </c>
      <c r="E105" s="18">
        <f t="shared" si="16"/>
        <v>104</v>
      </c>
      <c r="F105" s="18">
        <f t="shared" si="17"/>
        <v>123</v>
      </c>
      <c r="G105" s="19">
        <f t="shared" si="18"/>
        <v>19</v>
      </c>
      <c r="H105" s="21">
        <f t="shared" si="19"/>
        <v>110.5</v>
      </c>
      <c r="I105" s="22">
        <f t="shared" si="20"/>
        <v>120.315</v>
      </c>
      <c r="J105" s="20">
        <f t="shared" si="21"/>
        <v>9.8149999999999977</v>
      </c>
      <c r="K105" s="14">
        <f t="shared" si="22"/>
        <v>104</v>
      </c>
      <c r="L105" s="14">
        <f t="shared" si="23"/>
        <v>123</v>
      </c>
      <c r="M105" s="14">
        <f t="shared" si="24"/>
        <v>19</v>
      </c>
      <c r="N105" s="23">
        <f t="shared" si="25"/>
        <v>1.6008206011683732</v>
      </c>
      <c r="O105" s="23">
        <f t="shared" si="26"/>
        <v>1.6008206011683732</v>
      </c>
      <c r="P105" s="28">
        <f t="shared" si="27"/>
        <v>6.2857745125560777E-2</v>
      </c>
      <c r="Q105" s="28">
        <f t="shared" si="28"/>
        <v>6.2857745125560777E-2</v>
      </c>
      <c r="R105" s="27">
        <f t="shared" si="29"/>
        <v>115.26068054267321</v>
      </c>
    </row>
    <row r="106" spans="2:18">
      <c r="B106" s="6">
        <v>116.75</v>
      </c>
      <c r="C106" s="6">
        <v>114.19</v>
      </c>
      <c r="D106" s="7">
        <f t="shared" si="15"/>
        <v>115.47</v>
      </c>
      <c r="E106" s="18">
        <f t="shared" si="16"/>
        <v>105.53</v>
      </c>
      <c r="F106" s="18">
        <f t="shared" si="17"/>
        <v>123</v>
      </c>
      <c r="G106" s="19">
        <f t="shared" si="18"/>
        <v>17.47</v>
      </c>
      <c r="H106" s="21">
        <f t="shared" si="19"/>
        <v>110.5</v>
      </c>
      <c r="I106" s="22">
        <f t="shared" si="20"/>
        <v>119.375</v>
      </c>
      <c r="J106" s="20">
        <f t="shared" si="21"/>
        <v>8.875</v>
      </c>
      <c r="K106" s="14">
        <f t="shared" si="22"/>
        <v>105.53</v>
      </c>
      <c r="L106" s="14">
        <f t="shared" si="23"/>
        <v>123</v>
      </c>
      <c r="M106" s="14">
        <f t="shared" si="24"/>
        <v>17.47</v>
      </c>
      <c r="N106" s="23">
        <f t="shared" si="25"/>
        <v>1.5926495714567181</v>
      </c>
      <c r="O106" s="23">
        <f t="shared" si="26"/>
        <v>1.5926495714567181</v>
      </c>
      <c r="P106" s="28">
        <f t="shared" si="27"/>
        <v>6.526808299107012E-2</v>
      </c>
      <c r="Q106" s="28">
        <f t="shared" si="28"/>
        <v>6.526808299107012E-2</v>
      </c>
      <c r="R106" s="27">
        <f t="shared" si="29"/>
        <v>115.27434242238566</v>
      </c>
    </row>
    <row r="107" spans="2:18">
      <c r="B107" s="6">
        <v>113.87</v>
      </c>
      <c r="C107" s="6">
        <v>111.19</v>
      </c>
      <c r="D107" s="7">
        <f t="shared" si="15"/>
        <v>112.53</v>
      </c>
      <c r="E107" s="18">
        <f t="shared" si="16"/>
        <v>107.75</v>
      </c>
      <c r="F107" s="18">
        <f t="shared" si="17"/>
        <v>123</v>
      </c>
      <c r="G107" s="19">
        <f t="shared" si="18"/>
        <v>15.25</v>
      </c>
      <c r="H107" s="21">
        <f t="shared" si="19"/>
        <v>110.5</v>
      </c>
      <c r="I107" s="22">
        <f t="shared" si="20"/>
        <v>118.315</v>
      </c>
      <c r="J107" s="20">
        <f t="shared" si="21"/>
        <v>7.8149999999999977</v>
      </c>
      <c r="K107" s="14">
        <f t="shared" si="22"/>
        <v>107.75</v>
      </c>
      <c r="L107" s="14">
        <f t="shared" si="23"/>
        <v>123</v>
      </c>
      <c r="M107" s="14">
        <f t="shared" si="24"/>
        <v>15.25</v>
      </c>
      <c r="N107" s="23">
        <f t="shared" si="25"/>
        <v>1.5968960497280449</v>
      </c>
      <c r="O107" s="23">
        <f t="shared" si="26"/>
        <v>1.5968960497280449</v>
      </c>
      <c r="P107" s="28">
        <f t="shared" si="27"/>
        <v>6.4004115542291726E-2</v>
      </c>
      <c r="Q107" s="28">
        <f t="shared" si="28"/>
        <v>6.4004115542291726E-2</v>
      </c>
      <c r="R107" s="27">
        <f t="shared" si="29"/>
        <v>115.09869321289567</v>
      </c>
    </row>
    <row r="108" spans="2:18">
      <c r="B108" s="6">
        <v>114.62</v>
      </c>
      <c r="C108" s="6">
        <v>109.44</v>
      </c>
      <c r="D108" s="7">
        <f t="shared" si="15"/>
        <v>112.03</v>
      </c>
      <c r="E108" s="18">
        <f t="shared" si="16"/>
        <v>107.75</v>
      </c>
      <c r="F108" s="18">
        <f t="shared" si="17"/>
        <v>123</v>
      </c>
      <c r="G108" s="19">
        <f t="shared" si="18"/>
        <v>15.25</v>
      </c>
      <c r="H108" s="21">
        <f t="shared" si="19"/>
        <v>109.44</v>
      </c>
      <c r="I108" s="22">
        <f t="shared" si="20"/>
        <v>118.315</v>
      </c>
      <c r="J108" s="20">
        <f t="shared" si="21"/>
        <v>8.875</v>
      </c>
      <c r="K108" s="14">
        <f t="shared" si="22"/>
        <v>107.75</v>
      </c>
      <c r="L108" s="14">
        <f t="shared" si="23"/>
        <v>123</v>
      </c>
      <c r="M108" s="14">
        <f t="shared" si="24"/>
        <v>15.25</v>
      </c>
      <c r="N108" s="23">
        <f t="shared" si="25"/>
        <v>1.6617196997051942</v>
      </c>
      <c r="O108" s="23">
        <f t="shared" si="26"/>
        <v>1.6617196997051942</v>
      </c>
      <c r="P108" s="28">
        <f t="shared" si="27"/>
        <v>4.7485454657939505E-2</v>
      </c>
      <c r="Q108" s="28">
        <f t="shared" si="28"/>
        <v>4.7485454657939505E-2</v>
      </c>
      <c r="R108" s="27">
        <f t="shared" si="29"/>
        <v>114.95297492047558</v>
      </c>
    </row>
    <row r="109" spans="2:18">
      <c r="B109" s="6">
        <v>115.31</v>
      </c>
      <c r="C109" s="6">
        <v>111.56</v>
      </c>
      <c r="D109" s="7">
        <f t="shared" si="15"/>
        <v>113.435</v>
      </c>
      <c r="E109" s="18">
        <f t="shared" si="16"/>
        <v>107.75</v>
      </c>
      <c r="F109" s="18">
        <f t="shared" si="17"/>
        <v>123</v>
      </c>
      <c r="G109" s="19">
        <f t="shared" si="18"/>
        <v>15.25</v>
      </c>
      <c r="H109" s="21">
        <f t="shared" si="19"/>
        <v>109.44</v>
      </c>
      <c r="I109" s="22">
        <f t="shared" si="20"/>
        <v>118.315</v>
      </c>
      <c r="J109" s="20">
        <f t="shared" si="21"/>
        <v>8.875</v>
      </c>
      <c r="K109" s="14">
        <f t="shared" si="22"/>
        <v>107.75</v>
      </c>
      <c r="L109" s="14">
        <f t="shared" si="23"/>
        <v>123</v>
      </c>
      <c r="M109" s="14">
        <f t="shared" si="24"/>
        <v>15.25</v>
      </c>
      <c r="N109" s="23">
        <f t="shared" si="25"/>
        <v>1.6617196997051942</v>
      </c>
      <c r="O109" s="23">
        <f t="shared" si="26"/>
        <v>1.6617196997051942</v>
      </c>
      <c r="P109" s="28">
        <f t="shared" si="27"/>
        <v>4.7485454657939505E-2</v>
      </c>
      <c r="Q109" s="28">
        <f t="shared" si="28"/>
        <v>4.7485454657939505E-2</v>
      </c>
      <c r="R109" s="27">
        <f t="shared" si="29"/>
        <v>114.88089319121745</v>
      </c>
    </row>
    <row r="110" spans="2:18">
      <c r="B110" s="6">
        <v>116</v>
      </c>
      <c r="C110" s="6">
        <v>112.44</v>
      </c>
      <c r="D110" s="7">
        <f t="shared" si="15"/>
        <v>114.22</v>
      </c>
      <c r="E110" s="18">
        <f t="shared" si="16"/>
        <v>110.875</v>
      </c>
      <c r="F110" s="18">
        <f t="shared" si="17"/>
        <v>123</v>
      </c>
      <c r="G110" s="19">
        <f t="shared" si="18"/>
        <v>12.125</v>
      </c>
      <c r="H110" s="21">
        <f t="shared" si="19"/>
        <v>109.44</v>
      </c>
      <c r="I110" s="22">
        <f t="shared" si="20"/>
        <v>118.315</v>
      </c>
      <c r="J110" s="20">
        <f t="shared" si="21"/>
        <v>8.875</v>
      </c>
      <c r="K110" s="14">
        <f t="shared" si="22"/>
        <v>109.44</v>
      </c>
      <c r="L110" s="14">
        <f t="shared" si="23"/>
        <v>123</v>
      </c>
      <c r="M110" s="14">
        <f t="shared" si="24"/>
        <v>13.560000000000002</v>
      </c>
      <c r="N110" s="23">
        <f t="shared" si="25"/>
        <v>1.6310321494171409</v>
      </c>
      <c r="O110" s="23">
        <f t="shared" si="26"/>
        <v>1.6310321494171409</v>
      </c>
      <c r="P110" s="28">
        <f t="shared" si="27"/>
        <v>5.4693498124065598E-2</v>
      </c>
      <c r="Q110" s="28">
        <f t="shared" si="28"/>
        <v>5.4693498124065598E-2</v>
      </c>
      <c r="R110" s="27">
        <f t="shared" si="29"/>
        <v>114.8447466307034</v>
      </c>
    </row>
    <row r="111" spans="2:18">
      <c r="B111" s="6">
        <v>121.69</v>
      </c>
      <c r="C111" s="6">
        <v>117.5</v>
      </c>
      <c r="D111" s="7">
        <f t="shared" si="15"/>
        <v>119.595</v>
      </c>
      <c r="E111" s="18">
        <f t="shared" si="16"/>
        <v>110.5</v>
      </c>
      <c r="F111" s="18">
        <f t="shared" si="17"/>
        <v>121.75</v>
      </c>
      <c r="G111" s="19">
        <f t="shared" si="18"/>
        <v>11.25</v>
      </c>
      <c r="H111" s="21">
        <f t="shared" si="19"/>
        <v>109.44</v>
      </c>
      <c r="I111" s="22">
        <f t="shared" si="20"/>
        <v>121.69</v>
      </c>
      <c r="J111" s="20">
        <f t="shared" si="21"/>
        <v>12.25</v>
      </c>
      <c r="K111" s="14">
        <f t="shared" si="22"/>
        <v>109.44</v>
      </c>
      <c r="L111" s="14">
        <f t="shared" si="23"/>
        <v>121.75</v>
      </c>
      <c r="M111" s="14">
        <f t="shared" si="24"/>
        <v>12.310000000000002</v>
      </c>
      <c r="N111" s="23">
        <f t="shared" si="25"/>
        <v>1.9328299949679044</v>
      </c>
      <c r="O111" s="23">
        <f t="shared" si="26"/>
        <v>1.9328299949679044</v>
      </c>
      <c r="P111" s="28">
        <f t="shared" si="27"/>
        <v>1.3625109777220045E-2</v>
      </c>
      <c r="Q111" s="28">
        <f t="shared" si="28"/>
        <v>1.3625109777220045E-2</v>
      </c>
      <c r="R111" s="27">
        <f t="shared" si="29"/>
        <v>114.90946935432967</v>
      </c>
    </row>
    <row r="112" spans="2:18">
      <c r="B112" s="6">
        <v>119.87</v>
      </c>
      <c r="C112" s="6">
        <v>116.06</v>
      </c>
      <c r="D112" s="7">
        <f t="shared" si="15"/>
        <v>117.965</v>
      </c>
      <c r="E112" s="18">
        <f t="shared" si="16"/>
        <v>110.5</v>
      </c>
      <c r="F112" s="18">
        <f t="shared" si="17"/>
        <v>120.315</v>
      </c>
      <c r="G112" s="19">
        <f t="shared" si="18"/>
        <v>9.8149999999999977</v>
      </c>
      <c r="H112" s="21">
        <f t="shared" si="19"/>
        <v>109.44</v>
      </c>
      <c r="I112" s="22">
        <f t="shared" si="20"/>
        <v>121.69</v>
      </c>
      <c r="J112" s="20">
        <f t="shared" si="21"/>
        <v>12.25</v>
      </c>
      <c r="K112" s="14">
        <f t="shared" si="22"/>
        <v>109.44</v>
      </c>
      <c r="L112" s="14">
        <f t="shared" si="23"/>
        <v>121.69</v>
      </c>
      <c r="M112" s="14">
        <f t="shared" si="24"/>
        <v>12.25</v>
      </c>
      <c r="N112" s="23">
        <f t="shared" si="25"/>
        <v>1.8489779980860535</v>
      </c>
      <c r="O112" s="23">
        <f t="shared" si="26"/>
        <v>1.8489779980860535</v>
      </c>
      <c r="P112" s="28">
        <f t="shared" si="27"/>
        <v>2.0046751358882613E-2</v>
      </c>
      <c r="Q112" s="28">
        <f t="shared" si="28"/>
        <v>2.0046751358882613E-2</v>
      </c>
      <c r="R112" s="27">
        <f t="shared" si="29"/>
        <v>114.97072281745287</v>
      </c>
    </row>
    <row r="113" spans="2:18">
      <c r="B113" s="6">
        <v>120.87</v>
      </c>
      <c r="C113" s="6">
        <v>116.56</v>
      </c>
      <c r="D113" s="7">
        <f t="shared" si="15"/>
        <v>118.715</v>
      </c>
      <c r="E113" s="18">
        <f t="shared" si="16"/>
        <v>110.5</v>
      </c>
      <c r="F113" s="18">
        <f t="shared" si="17"/>
        <v>120.315</v>
      </c>
      <c r="G113" s="19">
        <f t="shared" si="18"/>
        <v>9.8149999999999977</v>
      </c>
      <c r="H113" s="21">
        <f t="shared" si="19"/>
        <v>109.44</v>
      </c>
      <c r="I113" s="22">
        <f t="shared" si="20"/>
        <v>121.69</v>
      </c>
      <c r="J113" s="20">
        <f t="shared" si="21"/>
        <v>12.25</v>
      </c>
      <c r="K113" s="14">
        <f t="shared" si="22"/>
        <v>109.44</v>
      </c>
      <c r="L113" s="14">
        <f t="shared" si="23"/>
        <v>121.69</v>
      </c>
      <c r="M113" s="14">
        <f t="shared" si="24"/>
        <v>12.25</v>
      </c>
      <c r="N113" s="23">
        <f t="shared" si="25"/>
        <v>1.8489779980860535</v>
      </c>
      <c r="O113" s="23">
        <f t="shared" si="26"/>
        <v>1.8489779980860535</v>
      </c>
      <c r="P113" s="28">
        <f t="shared" si="27"/>
        <v>2.0046751358882613E-2</v>
      </c>
      <c r="Q113" s="28">
        <f t="shared" si="28"/>
        <v>2.0046751358882613E-2</v>
      </c>
      <c r="R113" s="27">
        <f t="shared" si="29"/>
        <v>115.04578341115013</v>
      </c>
    </row>
    <row r="114" spans="2:18">
      <c r="B114" s="6">
        <v>116.75</v>
      </c>
      <c r="C114" s="6">
        <v>113.31</v>
      </c>
      <c r="D114" s="7">
        <f t="shared" si="15"/>
        <v>115.03</v>
      </c>
      <c r="E114" s="18">
        <f t="shared" si="16"/>
        <v>110.5</v>
      </c>
      <c r="F114" s="18">
        <f t="shared" si="17"/>
        <v>119.375</v>
      </c>
      <c r="G114" s="19">
        <f t="shared" si="18"/>
        <v>8.875</v>
      </c>
      <c r="H114" s="21">
        <f t="shared" si="19"/>
        <v>109.44</v>
      </c>
      <c r="I114" s="22">
        <f t="shared" si="20"/>
        <v>121.69</v>
      </c>
      <c r="J114" s="20">
        <f t="shared" si="21"/>
        <v>12.25</v>
      </c>
      <c r="K114" s="14">
        <f t="shared" si="22"/>
        <v>109.44</v>
      </c>
      <c r="L114" s="14">
        <f t="shared" si="23"/>
        <v>121.69</v>
      </c>
      <c r="M114" s="14">
        <f t="shared" si="24"/>
        <v>12.25</v>
      </c>
      <c r="N114" s="23">
        <f t="shared" si="25"/>
        <v>1.7861695921669765</v>
      </c>
      <c r="O114" s="23">
        <f t="shared" si="26"/>
        <v>1.7861695921669765</v>
      </c>
      <c r="P114" s="28">
        <f t="shared" si="27"/>
        <v>2.6770767091208347E-2</v>
      </c>
      <c r="Q114" s="28">
        <f t="shared" si="28"/>
        <v>2.6770767091208347E-2</v>
      </c>
      <c r="R114" s="27">
        <f t="shared" si="29"/>
        <v>115.04536087712633</v>
      </c>
    </row>
    <row r="115" spans="2:18">
      <c r="B115" s="6">
        <v>116.5</v>
      </c>
      <c r="C115" s="6">
        <v>112.56</v>
      </c>
      <c r="D115" s="7">
        <f t="shared" si="15"/>
        <v>114.53</v>
      </c>
      <c r="E115" s="18">
        <f t="shared" si="16"/>
        <v>110.5</v>
      </c>
      <c r="F115" s="18">
        <f t="shared" si="17"/>
        <v>118.315</v>
      </c>
      <c r="G115" s="19">
        <f t="shared" si="18"/>
        <v>7.8149999999999977</v>
      </c>
      <c r="H115" s="21">
        <f t="shared" si="19"/>
        <v>109.44</v>
      </c>
      <c r="I115" s="22">
        <f t="shared" si="20"/>
        <v>121.69</v>
      </c>
      <c r="J115" s="20">
        <f t="shared" si="21"/>
        <v>12.25</v>
      </c>
      <c r="K115" s="14">
        <f t="shared" si="22"/>
        <v>109.44</v>
      </c>
      <c r="L115" s="14">
        <f t="shared" si="23"/>
        <v>121.69</v>
      </c>
      <c r="M115" s="14">
        <f t="shared" si="24"/>
        <v>12.25</v>
      </c>
      <c r="N115" s="23">
        <f t="shared" si="25"/>
        <v>1.7118994068900621</v>
      </c>
      <c r="O115" s="23">
        <f t="shared" si="26"/>
        <v>1.7118994068900621</v>
      </c>
      <c r="P115" s="28">
        <f t="shared" si="27"/>
        <v>3.7687834683898219E-2</v>
      </c>
      <c r="Q115" s="28">
        <f t="shared" si="28"/>
        <v>3.7687834683898219E-2</v>
      </c>
      <c r="R115" s="27">
        <f t="shared" si="29"/>
        <v>115.02593804158664</v>
      </c>
    </row>
    <row r="116" spans="2:18">
      <c r="B116" s="6">
        <v>116</v>
      </c>
      <c r="C116" s="6">
        <v>114</v>
      </c>
      <c r="D116" s="7">
        <f t="shared" si="15"/>
        <v>115</v>
      </c>
      <c r="E116" s="18">
        <f t="shared" si="16"/>
        <v>109.44</v>
      </c>
      <c r="F116" s="18">
        <f t="shared" si="17"/>
        <v>118.315</v>
      </c>
      <c r="G116" s="19">
        <f t="shared" si="18"/>
        <v>8.875</v>
      </c>
      <c r="H116" s="21">
        <f t="shared" si="19"/>
        <v>111.56</v>
      </c>
      <c r="I116" s="22">
        <f t="shared" si="20"/>
        <v>121.69</v>
      </c>
      <c r="J116" s="20">
        <f t="shared" si="21"/>
        <v>10.129999999999995</v>
      </c>
      <c r="K116" s="14">
        <f t="shared" si="22"/>
        <v>109.44</v>
      </c>
      <c r="L116" s="14">
        <f t="shared" si="23"/>
        <v>121.69</v>
      </c>
      <c r="M116" s="14">
        <f t="shared" si="24"/>
        <v>12.25</v>
      </c>
      <c r="N116" s="23">
        <f t="shared" si="25"/>
        <v>1.6335972759720325</v>
      </c>
      <c r="O116" s="23">
        <f t="shared" si="26"/>
        <v>1.6335972759720325</v>
      </c>
      <c r="P116" s="28">
        <f t="shared" si="27"/>
        <v>5.4051213418135076E-2</v>
      </c>
      <c r="Q116" s="28">
        <f t="shared" si="28"/>
        <v>5.4051213418135076E-2</v>
      </c>
      <c r="R116" s="27">
        <f t="shared" si="29"/>
        <v>115.0245360589652</v>
      </c>
    </row>
    <row r="117" spans="2:18">
      <c r="B117" s="6">
        <v>118.31</v>
      </c>
      <c r="C117" s="6">
        <v>114.75</v>
      </c>
      <c r="D117" s="7">
        <f t="shared" si="15"/>
        <v>116.53</v>
      </c>
      <c r="E117" s="18">
        <f t="shared" si="16"/>
        <v>109.44</v>
      </c>
      <c r="F117" s="18">
        <f t="shared" si="17"/>
        <v>118.315</v>
      </c>
      <c r="G117" s="19">
        <f t="shared" si="18"/>
        <v>8.875</v>
      </c>
      <c r="H117" s="21">
        <f t="shared" si="19"/>
        <v>112.44</v>
      </c>
      <c r="I117" s="22">
        <f t="shared" si="20"/>
        <v>121.69</v>
      </c>
      <c r="J117" s="20">
        <f t="shared" si="21"/>
        <v>9.25</v>
      </c>
      <c r="K117" s="14">
        <f t="shared" si="22"/>
        <v>109.44</v>
      </c>
      <c r="L117" s="14">
        <f t="shared" si="23"/>
        <v>121.69</v>
      </c>
      <c r="M117" s="14">
        <f t="shared" si="24"/>
        <v>12.25</v>
      </c>
      <c r="N117" s="23">
        <f t="shared" si="25"/>
        <v>1.5651992458997261</v>
      </c>
      <c r="O117" s="23">
        <f t="shared" si="26"/>
        <v>1.5651992458997261</v>
      </c>
      <c r="P117" s="28">
        <f t="shared" si="27"/>
        <v>7.406303556952358E-2</v>
      </c>
      <c r="Q117" s="28">
        <f t="shared" si="28"/>
        <v>7.406303556952358E-2</v>
      </c>
      <c r="R117" s="27">
        <f t="shared" si="29"/>
        <v>115.13603528837869</v>
      </c>
    </row>
    <row r="118" spans="2:18">
      <c r="B118" s="6">
        <v>121.5</v>
      </c>
      <c r="C118" s="6">
        <v>118.87</v>
      </c>
      <c r="D118" s="7">
        <f t="shared" si="15"/>
        <v>120.185</v>
      </c>
      <c r="E118" s="18">
        <f t="shared" si="16"/>
        <v>109.44</v>
      </c>
      <c r="F118" s="18">
        <f t="shared" si="17"/>
        <v>118.315</v>
      </c>
      <c r="G118" s="19">
        <f t="shared" si="18"/>
        <v>8.875</v>
      </c>
      <c r="H118" s="21">
        <f t="shared" si="19"/>
        <v>112.56</v>
      </c>
      <c r="I118" s="22">
        <f t="shared" si="20"/>
        <v>121.69</v>
      </c>
      <c r="J118" s="20">
        <f t="shared" si="21"/>
        <v>9.1299999999999955</v>
      </c>
      <c r="K118" s="14">
        <f t="shared" si="22"/>
        <v>109.44</v>
      </c>
      <c r="L118" s="14">
        <f t="shared" si="23"/>
        <v>121.69</v>
      </c>
      <c r="M118" s="14">
        <f t="shared" si="24"/>
        <v>12.25</v>
      </c>
      <c r="N118" s="23">
        <f t="shared" si="25"/>
        <v>1.5556158503003472</v>
      </c>
      <c r="O118" s="23">
        <f t="shared" si="26"/>
        <v>1.5556158503003472</v>
      </c>
      <c r="P118" s="28">
        <f t="shared" si="27"/>
        <v>7.7404872461754121E-2</v>
      </c>
      <c r="Q118" s="28">
        <f t="shared" si="28"/>
        <v>7.7404872461754121E-2</v>
      </c>
      <c r="R118" s="27">
        <f t="shared" si="29"/>
        <v>115.52684975794564</v>
      </c>
    </row>
    <row r="119" spans="2:18">
      <c r="B119" s="6">
        <v>122</v>
      </c>
      <c r="C119" s="6">
        <v>119</v>
      </c>
      <c r="D119" s="7">
        <f t="shared" si="15"/>
        <v>120.5</v>
      </c>
      <c r="E119" s="18">
        <f t="shared" si="16"/>
        <v>109.44</v>
      </c>
      <c r="F119" s="18">
        <f t="shared" si="17"/>
        <v>121.69</v>
      </c>
      <c r="G119" s="19">
        <f t="shared" si="18"/>
        <v>12.25</v>
      </c>
      <c r="H119" s="21">
        <f t="shared" si="19"/>
        <v>112.56</v>
      </c>
      <c r="I119" s="22">
        <f t="shared" si="20"/>
        <v>122</v>
      </c>
      <c r="J119" s="20">
        <f t="shared" si="21"/>
        <v>9.4399999999999977</v>
      </c>
      <c r="K119" s="14">
        <f t="shared" si="22"/>
        <v>109.44</v>
      </c>
      <c r="L119" s="14">
        <f t="shared" si="23"/>
        <v>122</v>
      </c>
      <c r="M119" s="14">
        <f t="shared" si="24"/>
        <v>12.560000000000002</v>
      </c>
      <c r="N119" s="23">
        <f t="shared" si="25"/>
        <v>1.7881935887806466</v>
      </c>
      <c r="O119" s="23">
        <f t="shared" si="26"/>
        <v>1.7881935887806466</v>
      </c>
      <c r="P119" s="28">
        <f t="shared" si="27"/>
        <v>2.6522400110916697E-2</v>
      </c>
      <c r="Q119" s="28">
        <f t="shared" si="28"/>
        <v>2.6522400110916697E-2</v>
      </c>
      <c r="R119" s="27">
        <f t="shared" si="29"/>
        <v>115.6587496384771</v>
      </c>
    </row>
    <row r="120" spans="2:18">
      <c r="B120" s="6">
        <v>121.44</v>
      </c>
      <c r="C120" s="6">
        <v>119.75</v>
      </c>
      <c r="D120" s="7">
        <f t="shared" si="15"/>
        <v>120.595</v>
      </c>
      <c r="E120" s="18">
        <f t="shared" si="16"/>
        <v>109.44</v>
      </c>
      <c r="F120" s="18">
        <f t="shared" si="17"/>
        <v>121.69</v>
      </c>
      <c r="G120" s="19">
        <f t="shared" si="18"/>
        <v>12.25</v>
      </c>
      <c r="H120" s="21">
        <f t="shared" si="19"/>
        <v>112.56</v>
      </c>
      <c r="I120" s="22">
        <f t="shared" si="20"/>
        <v>122</v>
      </c>
      <c r="J120" s="20">
        <f t="shared" si="21"/>
        <v>9.4399999999999977</v>
      </c>
      <c r="K120" s="14">
        <f t="shared" si="22"/>
        <v>109.44</v>
      </c>
      <c r="L120" s="14">
        <f t="shared" si="23"/>
        <v>122</v>
      </c>
      <c r="M120" s="14">
        <f t="shared" si="24"/>
        <v>12.560000000000002</v>
      </c>
      <c r="N120" s="23">
        <f t="shared" si="25"/>
        <v>1.7881935887806466</v>
      </c>
      <c r="O120" s="23">
        <f t="shared" si="26"/>
        <v>1.7881935887806466</v>
      </c>
      <c r="P120" s="28">
        <f t="shared" si="27"/>
        <v>2.6522400110916697E-2</v>
      </c>
      <c r="Q120" s="28">
        <f t="shared" si="28"/>
        <v>2.6522400110916697E-2</v>
      </c>
      <c r="R120" s="27">
        <f t="shared" si="29"/>
        <v>115.78967084561307</v>
      </c>
    </row>
    <row r="121" spans="2:18">
      <c r="B121" s="6">
        <v>125.75</v>
      </c>
      <c r="C121" s="6">
        <v>122.62</v>
      </c>
      <c r="D121" s="7">
        <f t="shared" si="15"/>
        <v>124.185</v>
      </c>
      <c r="E121" s="18">
        <f t="shared" si="16"/>
        <v>109.44</v>
      </c>
      <c r="F121" s="18">
        <f t="shared" si="17"/>
        <v>121.69</v>
      </c>
      <c r="G121" s="19">
        <f t="shared" si="18"/>
        <v>12.25</v>
      </c>
      <c r="H121" s="21">
        <f t="shared" si="19"/>
        <v>112.56</v>
      </c>
      <c r="I121" s="22">
        <f t="shared" si="20"/>
        <v>125.75</v>
      </c>
      <c r="J121" s="20">
        <f t="shared" si="21"/>
        <v>13.189999999999998</v>
      </c>
      <c r="K121" s="14">
        <f t="shared" si="22"/>
        <v>109.44</v>
      </c>
      <c r="L121" s="14">
        <f t="shared" si="23"/>
        <v>125.75</v>
      </c>
      <c r="M121" s="14">
        <f t="shared" si="24"/>
        <v>16.310000000000002</v>
      </c>
      <c r="N121" s="23">
        <f t="shared" si="25"/>
        <v>1.6413418885724709</v>
      </c>
      <c r="O121" s="23">
        <f t="shared" si="26"/>
        <v>1.6413418885724709</v>
      </c>
      <c r="P121" s="28">
        <f t="shared" si="27"/>
        <v>5.2157434682212962E-2</v>
      </c>
      <c r="Q121" s="28">
        <f t="shared" si="28"/>
        <v>5.2157434682212962E-2</v>
      </c>
      <c r="R121" s="27">
        <f t="shared" si="29"/>
        <v>116.22754967761868</v>
      </c>
    </row>
    <row r="122" spans="2:18">
      <c r="B122" s="6">
        <v>127.75</v>
      </c>
      <c r="C122" s="6">
        <v>123</v>
      </c>
      <c r="D122" s="7">
        <f t="shared" si="15"/>
        <v>125.375</v>
      </c>
      <c r="E122" s="18">
        <f t="shared" si="16"/>
        <v>109.44</v>
      </c>
      <c r="F122" s="18">
        <f t="shared" si="17"/>
        <v>121.69</v>
      </c>
      <c r="G122" s="19">
        <f t="shared" si="18"/>
        <v>12.25</v>
      </c>
      <c r="H122" s="21">
        <f t="shared" si="19"/>
        <v>112.56</v>
      </c>
      <c r="I122" s="22">
        <f t="shared" si="20"/>
        <v>127.75</v>
      </c>
      <c r="J122" s="20">
        <f t="shared" si="21"/>
        <v>15.189999999999998</v>
      </c>
      <c r="K122" s="14">
        <f t="shared" si="22"/>
        <v>109.44</v>
      </c>
      <c r="L122" s="14">
        <f t="shared" si="23"/>
        <v>127.75</v>
      </c>
      <c r="M122" s="14">
        <f t="shared" si="24"/>
        <v>18.310000000000002</v>
      </c>
      <c r="N122" s="23">
        <f t="shared" si="25"/>
        <v>1.5836486903754752</v>
      </c>
      <c r="O122" s="23">
        <f t="shared" si="26"/>
        <v>1.5836486903754752</v>
      </c>
      <c r="P122" s="28">
        <f t="shared" si="27"/>
        <v>6.8030336519189216E-2</v>
      </c>
      <c r="Q122" s="28">
        <f t="shared" si="28"/>
        <v>6.8030336519189216E-2</v>
      </c>
      <c r="R122" s="27">
        <f t="shared" si="29"/>
        <v>116.84985380134285</v>
      </c>
    </row>
    <row r="123" spans="2:18">
      <c r="B123" s="6">
        <v>124.19</v>
      </c>
      <c r="C123" s="6">
        <v>121.75</v>
      </c>
      <c r="D123" s="7">
        <f t="shared" si="15"/>
        <v>122.97</v>
      </c>
      <c r="E123" s="18">
        <f t="shared" si="16"/>
        <v>109.44</v>
      </c>
      <c r="F123" s="18">
        <f t="shared" si="17"/>
        <v>121.69</v>
      </c>
      <c r="G123" s="19">
        <f t="shared" si="18"/>
        <v>12.25</v>
      </c>
      <c r="H123" s="21">
        <f t="shared" si="19"/>
        <v>114</v>
      </c>
      <c r="I123" s="22">
        <f t="shared" si="20"/>
        <v>127.75</v>
      </c>
      <c r="J123" s="20">
        <f t="shared" si="21"/>
        <v>13.75</v>
      </c>
      <c r="K123" s="14">
        <f t="shared" si="22"/>
        <v>109.44</v>
      </c>
      <c r="L123" s="14">
        <f t="shared" si="23"/>
        <v>127.75</v>
      </c>
      <c r="M123" s="14">
        <f t="shared" si="24"/>
        <v>18.310000000000002</v>
      </c>
      <c r="N123" s="23">
        <f t="shared" si="25"/>
        <v>1.5058798321184796</v>
      </c>
      <c r="O123" s="23">
        <f t="shared" si="26"/>
        <v>1.5058798321184796</v>
      </c>
      <c r="P123" s="28">
        <f t="shared" si="27"/>
        <v>9.7328568478848562E-2</v>
      </c>
      <c r="Q123" s="28">
        <f t="shared" si="28"/>
        <v>9.7328568478848562E-2</v>
      </c>
      <c r="R123" s="27">
        <f t="shared" si="29"/>
        <v>117.44551886973942</v>
      </c>
    </row>
    <row r="124" spans="2:18">
      <c r="B124" s="6">
        <v>124.44</v>
      </c>
      <c r="C124" s="6">
        <v>121.56</v>
      </c>
      <c r="D124" s="7">
        <f t="shared" si="15"/>
        <v>123</v>
      </c>
      <c r="E124" s="18">
        <f t="shared" si="16"/>
        <v>111.56</v>
      </c>
      <c r="F124" s="18">
        <f t="shared" si="17"/>
        <v>121.69</v>
      </c>
      <c r="G124" s="19">
        <f t="shared" si="18"/>
        <v>10.129999999999995</v>
      </c>
      <c r="H124" s="21">
        <f t="shared" si="19"/>
        <v>114.75</v>
      </c>
      <c r="I124" s="22">
        <f t="shared" si="20"/>
        <v>127.75</v>
      </c>
      <c r="J124" s="20">
        <f t="shared" si="21"/>
        <v>13</v>
      </c>
      <c r="K124" s="14">
        <f t="shared" si="22"/>
        <v>111.56</v>
      </c>
      <c r="L124" s="14">
        <f t="shared" si="23"/>
        <v>127.75</v>
      </c>
      <c r="M124" s="14">
        <f t="shared" si="24"/>
        <v>16.189999999999998</v>
      </c>
      <c r="N124" s="23">
        <f t="shared" si="25"/>
        <v>1.5146622803336243</v>
      </c>
      <c r="O124" s="23">
        <f t="shared" si="26"/>
        <v>1.5146622803336243</v>
      </c>
      <c r="P124" s="28">
        <f t="shared" si="27"/>
        <v>9.3470687992448231E-2</v>
      </c>
      <c r="Q124" s="28">
        <f t="shared" si="28"/>
        <v>9.3470687992448231E-2</v>
      </c>
      <c r="R124" s="27">
        <f t="shared" si="29"/>
        <v>117.96470004242595</v>
      </c>
    </row>
    <row r="125" spans="2:18">
      <c r="B125" s="6">
        <v>125.75</v>
      </c>
      <c r="C125" s="6">
        <v>123.12</v>
      </c>
      <c r="D125" s="7">
        <f t="shared" si="15"/>
        <v>124.435</v>
      </c>
      <c r="E125" s="18">
        <f t="shared" si="16"/>
        <v>112.44</v>
      </c>
      <c r="F125" s="18">
        <f t="shared" si="17"/>
        <v>121.69</v>
      </c>
      <c r="G125" s="19">
        <f t="shared" si="18"/>
        <v>9.25</v>
      </c>
      <c r="H125" s="21">
        <f t="shared" si="19"/>
        <v>118.87</v>
      </c>
      <c r="I125" s="22">
        <f t="shared" si="20"/>
        <v>127.75</v>
      </c>
      <c r="J125" s="20">
        <f t="shared" si="21"/>
        <v>8.8799999999999955</v>
      </c>
      <c r="K125" s="14">
        <f t="shared" si="22"/>
        <v>112.44</v>
      </c>
      <c r="L125" s="14">
        <f t="shared" si="23"/>
        <v>127.75</v>
      </c>
      <c r="M125" s="14">
        <f t="shared" si="24"/>
        <v>15.310000000000002</v>
      </c>
      <c r="N125" s="23">
        <f t="shared" si="25"/>
        <v>1.2439046422443696</v>
      </c>
      <c r="O125" s="23">
        <f t="shared" si="26"/>
        <v>1.2439046422443696</v>
      </c>
      <c r="P125" s="28">
        <f t="shared" si="27"/>
        <v>0.32523008714635437</v>
      </c>
      <c r="Q125" s="28">
        <f t="shared" si="28"/>
        <v>0.32523008714635437</v>
      </c>
      <c r="R125" s="27">
        <f t="shared" si="29"/>
        <v>120.06903626149081</v>
      </c>
    </row>
    <row r="126" spans="2:18">
      <c r="B126" s="6">
        <v>124.69</v>
      </c>
      <c r="C126" s="6">
        <v>122.19</v>
      </c>
      <c r="D126" s="7">
        <f t="shared" si="15"/>
        <v>123.44</v>
      </c>
      <c r="E126" s="18">
        <f t="shared" si="16"/>
        <v>112.56</v>
      </c>
      <c r="F126" s="18">
        <f t="shared" si="17"/>
        <v>121.69</v>
      </c>
      <c r="G126" s="19">
        <f t="shared" si="18"/>
        <v>9.1299999999999955</v>
      </c>
      <c r="H126" s="21">
        <f t="shared" si="19"/>
        <v>119</v>
      </c>
      <c r="I126" s="22">
        <f t="shared" si="20"/>
        <v>127.75</v>
      </c>
      <c r="J126" s="20">
        <f t="shared" si="21"/>
        <v>8.75</v>
      </c>
      <c r="K126" s="14">
        <f t="shared" si="22"/>
        <v>112.56</v>
      </c>
      <c r="L126" s="14">
        <f t="shared" si="23"/>
        <v>127.75</v>
      </c>
      <c r="M126" s="14">
        <f t="shared" si="24"/>
        <v>15.189999999999998</v>
      </c>
      <c r="N126" s="23">
        <f t="shared" si="25"/>
        <v>1.2352248666812342</v>
      </c>
      <c r="O126" s="23">
        <f t="shared" si="26"/>
        <v>1.2352248666812342</v>
      </c>
      <c r="P126" s="28">
        <f t="shared" si="27"/>
        <v>0.33849344791739688</v>
      </c>
      <c r="Q126" s="28">
        <f t="shared" si="28"/>
        <v>0.33849344791739688</v>
      </c>
      <c r="R126" s="27">
        <f t="shared" si="29"/>
        <v>121.2100854001433</v>
      </c>
    </row>
    <row r="127" spans="2:18">
      <c r="B127" s="6">
        <v>125.31</v>
      </c>
      <c r="C127" s="6">
        <v>122.75</v>
      </c>
      <c r="D127" s="7">
        <f t="shared" si="15"/>
        <v>124.03</v>
      </c>
      <c r="E127" s="18">
        <f t="shared" si="16"/>
        <v>112.56</v>
      </c>
      <c r="F127" s="18">
        <f t="shared" si="17"/>
        <v>122</v>
      </c>
      <c r="G127" s="19">
        <f t="shared" si="18"/>
        <v>9.4399999999999977</v>
      </c>
      <c r="H127" s="21">
        <f t="shared" si="19"/>
        <v>119.75</v>
      </c>
      <c r="I127" s="22">
        <f t="shared" si="20"/>
        <v>127.75</v>
      </c>
      <c r="J127" s="20">
        <f t="shared" si="21"/>
        <v>8</v>
      </c>
      <c r="K127" s="14">
        <f t="shared" si="22"/>
        <v>112.56</v>
      </c>
      <c r="L127" s="14">
        <f t="shared" si="23"/>
        <v>127.75</v>
      </c>
      <c r="M127" s="14">
        <f t="shared" si="24"/>
        <v>15.189999999999998</v>
      </c>
      <c r="N127" s="23">
        <f t="shared" si="25"/>
        <v>1.199278170274843</v>
      </c>
      <c r="O127" s="23">
        <f t="shared" si="26"/>
        <v>1.199278170274843</v>
      </c>
      <c r="P127" s="28">
        <f t="shared" si="27"/>
        <v>0.3994327399730852</v>
      </c>
      <c r="Q127" s="28">
        <f t="shared" si="28"/>
        <v>0.3994327399730852</v>
      </c>
      <c r="R127" s="27">
        <f t="shared" si="29"/>
        <v>122.33645161525416</v>
      </c>
    </row>
    <row r="128" spans="2:18">
      <c r="B128" s="6">
        <v>132</v>
      </c>
      <c r="C128" s="6">
        <v>124.37</v>
      </c>
      <c r="D128" s="7">
        <f t="shared" si="15"/>
        <v>128.185</v>
      </c>
      <c r="E128" s="18">
        <f t="shared" si="16"/>
        <v>112.56</v>
      </c>
      <c r="F128" s="18">
        <f t="shared" si="17"/>
        <v>122</v>
      </c>
      <c r="G128" s="19">
        <f t="shared" si="18"/>
        <v>9.4399999999999977</v>
      </c>
      <c r="H128" s="21">
        <f t="shared" si="19"/>
        <v>121.56</v>
      </c>
      <c r="I128" s="22">
        <f t="shared" si="20"/>
        <v>132</v>
      </c>
      <c r="J128" s="20">
        <f t="shared" si="21"/>
        <v>10.439999999999998</v>
      </c>
      <c r="K128" s="14">
        <f t="shared" si="22"/>
        <v>112.56</v>
      </c>
      <c r="L128" s="14">
        <f t="shared" si="23"/>
        <v>132</v>
      </c>
      <c r="M128" s="14">
        <f t="shared" si="24"/>
        <v>19.439999999999998</v>
      </c>
      <c r="N128" s="23">
        <f t="shared" si="25"/>
        <v>1.0322895379565051</v>
      </c>
      <c r="O128" s="23">
        <f t="shared" si="26"/>
        <v>1.0322895379565051</v>
      </c>
      <c r="P128" s="28">
        <f t="shared" si="27"/>
        <v>0.86182864350535315</v>
      </c>
      <c r="Q128" s="28">
        <f t="shared" si="28"/>
        <v>0.86182864350535315</v>
      </c>
      <c r="R128" s="27">
        <f t="shared" si="29"/>
        <v>127.37689813615509</v>
      </c>
    </row>
    <row r="129" spans="2:18">
      <c r="B129" s="6">
        <v>131.31</v>
      </c>
      <c r="C129" s="6">
        <v>128</v>
      </c>
      <c r="D129" s="7">
        <f t="shared" si="15"/>
        <v>129.655</v>
      </c>
      <c r="E129" s="18">
        <f t="shared" si="16"/>
        <v>112.56</v>
      </c>
      <c r="F129" s="18">
        <f t="shared" si="17"/>
        <v>125.75</v>
      </c>
      <c r="G129" s="19">
        <f t="shared" si="18"/>
        <v>13.189999999999998</v>
      </c>
      <c r="H129" s="21">
        <f t="shared" si="19"/>
        <v>121.56</v>
      </c>
      <c r="I129" s="22">
        <f t="shared" si="20"/>
        <v>132</v>
      </c>
      <c r="J129" s="20">
        <f t="shared" si="21"/>
        <v>10.439999999999998</v>
      </c>
      <c r="K129" s="14">
        <f t="shared" si="22"/>
        <v>112.56</v>
      </c>
      <c r="L129" s="14">
        <f t="shared" si="23"/>
        <v>132</v>
      </c>
      <c r="M129" s="14">
        <f t="shared" si="24"/>
        <v>19.439999999999998</v>
      </c>
      <c r="N129" s="23">
        <f t="shared" si="25"/>
        <v>1.2815914103680657</v>
      </c>
      <c r="O129" s="23">
        <f t="shared" si="26"/>
        <v>1.2815914103680657</v>
      </c>
      <c r="P129" s="28">
        <f t="shared" si="27"/>
        <v>0.27341175290796049</v>
      </c>
      <c r="Q129" s="28">
        <f t="shared" si="28"/>
        <v>0.27341175290796049</v>
      </c>
      <c r="R129" s="27">
        <f t="shared" si="29"/>
        <v>127.99975796005182</v>
      </c>
    </row>
    <row r="130" spans="2:18">
      <c r="B130" s="6">
        <v>132.25</v>
      </c>
      <c r="C130" s="6">
        <v>129.5</v>
      </c>
      <c r="D130" s="7">
        <f t="shared" si="15"/>
        <v>130.875</v>
      </c>
      <c r="E130" s="18">
        <f t="shared" si="16"/>
        <v>112.56</v>
      </c>
      <c r="F130" s="18">
        <f t="shared" si="17"/>
        <v>127.75</v>
      </c>
      <c r="G130" s="19">
        <f t="shared" si="18"/>
        <v>15.189999999999998</v>
      </c>
      <c r="H130" s="21">
        <f t="shared" si="19"/>
        <v>121.56</v>
      </c>
      <c r="I130" s="22">
        <f t="shared" si="20"/>
        <v>132.25</v>
      </c>
      <c r="J130" s="20">
        <f t="shared" si="21"/>
        <v>10.689999999999998</v>
      </c>
      <c r="K130" s="14">
        <f t="shared" si="22"/>
        <v>112.56</v>
      </c>
      <c r="L130" s="14">
        <f t="shared" si="23"/>
        <v>132.25</v>
      </c>
      <c r="M130" s="14">
        <f t="shared" si="24"/>
        <v>19.689999999999998</v>
      </c>
      <c r="N130" s="23">
        <f t="shared" si="25"/>
        <v>1.3943745060909538</v>
      </c>
      <c r="O130" s="23">
        <f t="shared" si="26"/>
        <v>1.3943745060909538</v>
      </c>
      <c r="P130" s="28">
        <f t="shared" si="27"/>
        <v>0.16264884657144191</v>
      </c>
      <c r="Q130" s="28">
        <f t="shared" si="28"/>
        <v>0.16264884657144191</v>
      </c>
      <c r="R130" s="27">
        <f t="shared" si="29"/>
        <v>128.46741276146312</v>
      </c>
    </row>
    <row r="131" spans="2:18">
      <c r="B131" s="6">
        <v>133.88</v>
      </c>
      <c r="C131" s="6">
        <v>130.81</v>
      </c>
      <c r="D131" s="7">
        <f t="shared" si="15"/>
        <v>132.345</v>
      </c>
      <c r="E131" s="18">
        <f t="shared" si="16"/>
        <v>114</v>
      </c>
      <c r="F131" s="18">
        <f t="shared" si="17"/>
        <v>127.75</v>
      </c>
      <c r="G131" s="19">
        <f t="shared" si="18"/>
        <v>13.75</v>
      </c>
      <c r="H131" s="21">
        <f t="shared" si="19"/>
        <v>121.56</v>
      </c>
      <c r="I131" s="22">
        <f t="shared" si="20"/>
        <v>133.88</v>
      </c>
      <c r="J131" s="20">
        <f t="shared" si="21"/>
        <v>12.319999999999993</v>
      </c>
      <c r="K131" s="14">
        <f t="shared" si="22"/>
        <v>114</v>
      </c>
      <c r="L131" s="14">
        <f t="shared" si="23"/>
        <v>133.88</v>
      </c>
      <c r="M131" s="14">
        <f t="shared" si="24"/>
        <v>19.879999999999995</v>
      </c>
      <c r="N131" s="23">
        <f t="shared" si="25"/>
        <v>1.3910728259732701</v>
      </c>
      <c r="O131" s="23">
        <f t="shared" si="26"/>
        <v>1.3910728259732701</v>
      </c>
      <c r="P131" s="28">
        <f t="shared" si="27"/>
        <v>0.16514078627810566</v>
      </c>
      <c r="Q131" s="28">
        <f t="shared" si="28"/>
        <v>0.16514078627810566</v>
      </c>
      <c r="R131" s="27">
        <f t="shared" si="29"/>
        <v>129.10776056689704</v>
      </c>
    </row>
    <row r="132" spans="2:18">
      <c r="B132" s="6">
        <v>133.5</v>
      </c>
      <c r="C132" s="6">
        <v>130.63</v>
      </c>
      <c r="D132" s="7">
        <f t="shared" si="15"/>
        <v>132.065</v>
      </c>
      <c r="E132" s="18">
        <f t="shared" si="16"/>
        <v>114.75</v>
      </c>
      <c r="F132" s="18">
        <f t="shared" si="17"/>
        <v>127.75</v>
      </c>
      <c r="G132" s="19">
        <f t="shared" si="18"/>
        <v>13</v>
      </c>
      <c r="H132" s="21">
        <f t="shared" si="19"/>
        <v>122.19</v>
      </c>
      <c r="I132" s="22">
        <f t="shared" si="20"/>
        <v>133.88</v>
      </c>
      <c r="J132" s="20">
        <f t="shared" si="21"/>
        <v>11.689999999999998</v>
      </c>
      <c r="K132" s="14">
        <f t="shared" si="22"/>
        <v>114.75</v>
      </c>
      <c r="L132" s="14">
        <f t="shared" si="23"/>
        <v>133.88</v>
      </c>
      <c r="M132" s="14">
        <f t="shared" si="24"/>
        <v>19.129999999999995</v>
      </c>
      <c r="N132" s="23">
        <f t="shared" si="25"/>
        <v>1.3680899627966696</v>
      </c>
      <c r="O132" s="23">
        <f t="shared" si="26"/>
        <v>1.3680899627966696</v>
      </c>
      <c r="P132" s="28">
        <f t="shared" si="27"/>
        <v>0.18357776341415055</v>
      </c>
      <c r="Q132" s="28">
        <f t="shared" si="28"/>
        <v>0.18357776341415055</v>
      </c>
      <c r="R132" s="27">
        <f t="shared" si="29"/>
        <v>129.65064396790621</v>
      </c>
    </row>
    <row r="133" spans="2:18">
      <c r="B133" s="6">
        <v>135.5</v>
      </c>
      <c r="C133" s="6">
        <v>132.13</v>
      </c>
      <c r="D133" s="7">
        <f t="shared" si="15"/>
        <v>133.815</v>
      </c>
      <c r="E133" s="18">
        <f t="shared" si="16"/>
        <v>118.87</v>
      </c>
      <c r="F133" s="18">
        <f t="shared" si="17"/>
        <v>127.75</v>
      </c>
      <c r="G133" s="19">
        <f t="shared" si="18"/>
        <v>8.8799999999999955</v>
      </c>
      <c r="H133" s="21">
        <f t="shared" si="19"/>
        <v>122.19</v>
      </c>
      <c r="I133" s="22">
        <f t="shared" si="20"/>
        <v>135.5</v>
      </c>
      <c r="J133" s="20">
        <f t="shared" si="21"/>
        <v>13.310000000000002</v>
      </c>
      <c r="K133" s="14">
        <f t="shared" si="22"/>
        <v>118.87</v>
      </c>
      <c r="L133" s="14">
        <f t="shared" si="23"/>
        <v>135.5</v>
      </c>
      <c r="M133" s="14">
        <f t="shared" si="24"/>
        <v>16.629999999999995</v>
      </c>
      <c r="N133" s="23">
        <f t="shared" si="25"/>
        <v>1.4161214989097426</v>
      </c>
      <c r="O133" s="23">
        <f t="shared" si="26"/>
        <v>1.4161214989097426</v>
      </c>
      <c r="P133" s="28">
        <f t="shared" si="27"/>
        <v>0.14714889399162315</v>
      </c>
      <c r="Q133" s="28">
        <f t="shared" si="28"/>
        <v>0.14714889399162315</v>
      </c>
      <c r="R133" s="27">
        <f t="shared" si="29"/>
        <v>130.26342435221616</v>
      </c>
    </row>
    <row r="134" spans="2:18">
      <c r="B134" s="6">
        <v>137.44</v>
      </c>
      <c r="C134" s="6">
        <v>133.88</v>
      </c>
      <c r="D134" s="7">
        <f t="shared" ref="D134:D197" si="30">(B134+C134)/2</f>
        <v>135.66</v>
      </c>
      <c r="E134" s="18">
        <f t="shared" si="16"/>
        <v>119</v>
      </c>
      <c r="F134" s="18">
        <f t="shared" si="17"/>
        <v>127.75</v>
      </c>
      <c r="G134" s="19">
        <f t="shared" si="18"/>
        <v>8.75</v>
      </c>
      <c r="H134" s="21">
        <f t="shared" si="19"/>
        <v>122.75</v>
      </c>
      <c r="I134" s="22">
        <f t="shared" si="20"/>
        <v>137.44</v>
      </c>
      <c r="J134" s="20">
        <f t="shared" si="21"/>
        <v>14.689999999999998</v>
      </c>
      <c r="K134" s="14">
        <f t="shared" si="22"/>
        <v>119</v>
      </c>
      <c r="L134" s="14">
        <f t="shared" si="23"/>
        <v>137.44</v>
      </c>
      <c r="M134" s="14">
        <f t="shared" si="24"/>
        <v>18.439999999999998</v>
      </c>
      <c r="N134" s="23">
        <f t="shared" si="25"/>
        <v>1.34613391399291</v>
      </c>
      <c r="O134" s="23">
        <f t="shared" si="26"/>
        <v>1.34613391399291</v>
      </c>
      <c r="P134" s="28">
        <f t="shared" si="27"/>
        <v>0.20311040494065372</v>
      </c>
      <c r="Q134" s="28">
        <f t="shared" si="28"/>
        <v>0.20311040494065372</v>
      </c>
      <c r="R134" s="27">
        <f t="shared" si="29"/>
        <v>131.35952501733041</v>
      </c>
    </row>
    <row r="135" spans="2:18">
      <c r="B135" s="6">
        <v>138.69</v>
      </c>
      <c r="C135" s="6">
        <v>135.38</v>
      </c>
      <c r="D135" s="7">
        <f t="shared" si="30"/>
        <v>137.035</v>
      </c>
      <c r="E135" s="18">
        <f t="shared" si="16"/>
        <v>119.75</v>
      </c>
      <c r="F135" s="18">
        <f t="shared" si="17"/>
        <v>127.75</v>
      </c>
      <c r="G135" s="19">
        <f t="shared" si="18"/>
        <v>8</v>
      </c>
      <c r="H135" s="21">
        <f t="shared" si="19"/>
        <v>124.37</v>
      </c>
      <c r="I135" s="22">
        <f t="shared" si="20"/>
        <v>138.69</v>
      </c>
      <c r="J135" s="20">
        <f t="shared" si="21"/>
        <v>14.319999999999993</v>
      </c>
      <c r="K135" s="14">
        <f t="shared" si="22"/>
        <v>119.75</v>
      </c>
      <c r="L135" s="14">
        <f t="shared" si="23"/>
        <v>138.69</v>
      </c>
      <c r="M135" s="14">
        <f t="shared" si="24"/>
        <v>18.939999999999998</v>
      </c>
      <c r="N135" s="23">
        <f t="shared" si="25"/>
        <v>1.2369006963608025</v>
      </c>
      <c r="O135" s="23">
        <f t="shared" si="26"/>
        <v>1.2369006963608025</v>
      </c>
      <c r="P135" s="28">
        <f t="shared" si="27"/>
        <v>0.33589118557675873</v>
      </c>
      <c r="Q135" s="28">
        <f t="shared" si="28"/>
        <v>0.33589118557675873</v>
      </c>
      <c r="R135" s="27">
        <f t="shared" si="29"/>
        <v>133.26586703797054</v>
      </c>
    </row>
    <row r="136" spans="2:18">
      <c r="B136" s="6">
        <v>139.19</v>
      </c>
      <c r="C136" s="6">
        <v>135.75</v>
      </c>
      <c r="D136" s="7">
        <f t="shared" si="30"/>
        <v>137.47</v>
      </c>
      <c r="E136" s="18">
        <f t="shared" si="16"/>
        <v>121.56</v>
      </c>
      <c r="F136" s="18">
        <f t="shared" si="17"/>
        <v>132</v>
      </c>
      <c r="G136" s="19">
        <f t="shared" si="18"/>
        <v>10.439999999999998</v>
      </c>
      <c r="H136" s="21">
        <f t="shared" si="19"/>
        <v>128</v>
      </c>
      <c r="I136" s="22">
        <f t="shared" si="20"/>
        <v>139.19</v>
      </c>
      <c r="J136" s="20">
        <f t="shared" si="21"/>
        <v>11.189999999999998</v>
      </c>
      <c r="K136" s="14">
        <f t="shared" si="22"/>
        <v>121.56</v>
      </c>
      <c r="L136" s="14">
        <f t="shared" si="23"/>
        <v>139.19</v>
      </c>
      <c r="M136" s="14">
        <f t="shared" si="24"/>
        <v>17.629999999999995</v>
      </c>
      <c r="N136" s="23">
        <f t="shared" si="25"/>
        <v>1.2950011906417971</v>
      </c>
      <c r="O136" s="23">
        <f t="shared" si="26"/>
        <v>1.2950011906417971</v>
      </c>
      <c r="P136" s="28">
        <f t="shared" si="27"/>
        <v>0.25703816890495507</v>
      </c>
      <c r="Q136" s="28">
        <f t="shared" si="28"/>
        <v>0.25703816890495507</v>
      </c>
      <c r="R136" s="27">
        <f t="shared" si="29"/>
        <v>134.34648967636355</v>
      </c>
    </row>
    <row r="137" spans="2:18">
      <c r="B137" s="6">
        <v>138.5</v>
      </c>
      <c r="C137" s="6">
        <v>136.19</v>
      </c>
      <c r="D137" s="7">
        <f t="shared" si="30"/>
        <v>137.345</v>
      </c>
      <c r="E137" s="18">
        <f t="shared" si="16"/>
        <v>121.56</v>
      </c>
      <c r="F137" s="18">
        <f t="shared" si="17"/>
        <v>132</v>
      </c>
      <c r="G137" s="19">
        <f t="shared" si="18"/>
        <v>10.439999999999998</v>
      </c>
      <c r="H137" s="21">
        <f t="shared" si="19"/>
        <v>129.5</v>
      </c>
      <c r="I137" s="22">
        <f t="shared" si="20"/>
        <v>139.19</v>
      </c>
      <c r="J137" s="20">
        <f t="shared" si="21"/>
        <v>9.6899999999999977</v>
      </c>
      <c r="K137" s="14">
        <f t="shared" si="22"/>
        <v>121.56</v>
      </c>
      <c r="L137" s="14">
        <f t="shared" si="23"/>
        <v>139.19</v>
      </c>
      <c r="M137" s="14">
        <f t="shared" si="24"/>
        <v>17.629999999999995</v>
      </c>
      <c r="N137" s="23">
        <f t="shared" si="25"/>
        <v>1.1913146976011582</v>
      </c>
      <c r="O137" s="23">
        <f t="shared" si="26"/>
        <v>1.1913146976011582</v>
      </c>
      <c r="P137" s="28">
        <f t="shared" si="27"/>
        <v>0.41435311184354123</v>
      </c>
      <c r="Q137" s="28">
        <f t="shared" si="28"/>
        <v>0.41435311184354123</v>
      </c>
      <c r="R137" s="27">
        <f t="shared" si="29"/>
        <v>135.5889317598573</v>
      </c>
    </row>
    <row r="138" spans="2:18">
      <c r="B138" s="6">
        <v>138.13</v>
      </c>
      <c r="C138" s="6">
        <v>134.5</v>
      </c>
      <c r="D138" s="7">
        <f t="shared" si="30"/>
        <v>136.315</v>
      </c>
      <c r="E138" s="18">
        <f t="shared" si="16"/>
        <v>121.56</v>
      </c>
      <c r="F138" s="18">
        <f t="shared" si="17"/>
        <v>132.25</v>
      </c>
      <c r="G138" s="19">
        <f t="shared" si="18"/>
        <v>10.689999999999998</v>
      </c>
      <c r="H138" s="21">
        <f t="shared" si="19"/>
        <v>130.63</v>
      </c>
      <c r="I138" s="22">
        <f t="shared" si="20"/>
        <v>139.19</v>
      </c>
      <c r="J138" s="20">
        <f t="shared" si="21"/>
        <v>8.5600000000000023</v>
      </c>
      <c r="K138" s="14">
        <f t="shared" si="22"/>
        <v>121.56</v>
      </c>
      <c r="L138" s="14">
        <f t="shared" si="23"/>
        <v>139.19</v>
      </c>
      <c r="M138" s="14">
        <f t="shared" si="24"/>
        <v>17.629999999999995</v>
      </c>
      <c r="N138" s="23">
        <f t="shared" si="25"/>
        <v>1.1268259711494448</v>
      </c>
      <c r="O138" s="23">
        <f t="shared" si="26"/>
        <v>1.1268259711494448</v>
      </c>
      <c r="P138" s="28">
        <f t="shared" si="27"/>
        <v>0.55763247467156429</v>
      </c>
      <c r="Q138" s="28">
        <f t="shared" si="28"/>
        <v>0.55763247467156429</v>
      </c>
      <c r="R138" s="27">
        <f t="shared" si="29"/>
        <v>135.99381098938849</v>
      </c>
    </row>
    <row r="139" spans="2:18">
      <c r="B139" s="6">
        <v>137.5</v>
      </c>
      <c r="C139" s="6">
        <v>135.38</v>
      </c>
      <c r="D139" s="7">
        <f t="shared" si="30"/>
        <v>136.44</v>
      </c>
      <c r="E139" s="18">
        <f t="shared" si="16"/>
        <v>121.56</v>
      </c>
      <c r="F139" s="18">
        <f t="shared" si="17"/>
        <v>133.88</v>
      </c>
      <c r="G139" s="19">
        <f t="shared" si="18"/>
        <v>12.319999999999993</v>
      </c>
      <c r="H139" s="21">
        <f t="shared" si="19"/>
        <v>130.63</v>
      </c>
      <c r="I139" s="22">
        <f t="shared" si="20"/>
        <v>139.19</v>
      </c>
      <c r="J139" s="20">
        <f t="shared" si="21"/>
        <v>8.5600000000000023</v>
      </c>
      <c r="K139" s="14">
        <f t="shared" si="22"/>
        <v>121.56</v>
      </c>
      <c r="L139" s="14">
        <f t="shared" si="23"/>
        <v>139.19</v>
      </c>
      <c r="M139" s="14">
        <f t="shared" si="24"/>
        <v>17.629999999999995</v>
      </c>
      <c r="N139" s="23">
        <f t="shared" si="25"/>
        <v>1.2440892372497028</v>
      </c>
      <c r="O139" s="23">
        <f t="shared" si="26"/>
        <v>1.2440892372497028</v>
      </c>
      <c r="P139" s="28">
        <f t="shared" si="27"/>
        <v>0.324953729322707</v>
      </c>
      <c r="Q139" s="28">
        <f t="shared" si="28"/>
        <v>0.324953729322707</v>
      </c>
      <c r="R139" s="27">
        <f t="shared" si="29"/>
        <v>136.1388017723695</v>
      </c>
    </row>
    <row r="140" spans="2:18">
      <c r="B140" s="6">
        <v>138.88</v>
      </c>
      <c r="C140" s="6">
        <v>133.69</v>
      </c>
      <c r="D140" s="7">
        <f t="shared" si="30"/>
        <v>136.285</v>
      </c>
      <c r="E140" s="18">
        <f t="shared" si="16"/>
        <v>122.19</v>
      </c>
      <c r="F140" s="18">
        <f t="shared" si="17"/>
        <v>133.88</v>
      </c>
      <c r="G140" s="19">
        <f t="shared" si="18"/>
        <v>11.689999999999998</v>
      </c>
      <c r="H140" s="21">
        <f t="shared" si="19"/>
        <v>132.13</v>
      </c>
      <c r="I140" s="22">
        <f t="shared" si="20"/>
        <v>139.19</v>
      </c>
      <c r="J140" s="20">
        <f t="shared" si="21"/>
        <v>7.0600000000000023</v>
      </c>
      <c r="K140" s="14">
        <f t="shared" si="22"/>
        <v>122.19</v>
      </c>
      <c r="L140" s="14">
        <f t="shared" si="23"/>
        <v>139.19</v>
      </c>
      <c r="M140" s="14">
        <f t="shared" si="24"/>
        <v>17</v>
      </c>
      <c r="N140" s="23">
        <f t="shared" si="25"/>
        <v>1.1413558492455416</v>
      </c>
      <c r="O140" s="23">
        <f t="shared" si="26"/>
        <v>1.1413558492455416</v>
      </c>
      <c r="P140" s="28">
        <f t="shared" si="27"/>
        <v>0.5215408152200619</v>
      </c>
      <c r="Q140" s="28">
        <f t="shared" si="28"/>
        <v>0.5215408152200619</v>
      </c>
      <c r="R140" s="27">
        <f t="shared" si="29"/>
        <v>136.21505011519164</v>
      </c>
    </row>
    <row r="141" spans="2:18">
      <c r="B141" s="6">
        <v>132.13</v>
      </c>
      <c r="C141" s="6">
        <v>126.06</v>
      </c>
      <c r="D141" s="7">
        <f t="shared" si="30"/>
        <v>129.095</v>
      </c>
      <c r="E141" s="18">
        <f t="shared" si="16"/>
        <v>122.19</v>
      </c>
      <c r="F141" s="18">
        <f t="shared" si="17"/>
        <v>135.5</v>
      </c>
      <c r="G141" s="19">
        <f t="shared" si="18"/>
        <v>13.310000000000002</v>
      </c>
      <c r="H141" s="21">
        <f t="shared" si="19"/>
        <v>126.06</v>
      </c>
      <c r="I141" s="22">
        <f t="shared" si="20"/>
        <v>139.19</v>
      </c>
      <c r="J141" s="20">
        <f t="shared" si="21"/>
        <v>13.129999999999995</v>
      </c>
      <c r="K141" s="14">
        <f t="shared" si="22"/>
        <v>122.19</v>
      </c>
      <c r="L141" s="14">
        <f t="shared" si="23"/>
        <v>139.19</v>
      </c>
      <c r="M141" s="14">
        <f t="shared" si="24"/>
        <v>17</v>
      </c>
      <c r="N141" s="23">
        <f t="shared" si="25"/>
        <v>1.6371874304826277</v>
      </c>
      <c r="O141" s="23">
        <f t="shared" si="26"/>
        <v>1.6371874304826277</v>
      </c>
      <c r="P141" s="28">
        <f t="shared" si="27"/>
        <v>5.3164916857136084E-2</v>
      </c>
      <c r="Q141" s="28">
        <f t="shared" si="28"/>
        <v>5.3164916857136084E-2</v>
      </c>
      <c r="R141" s="27">
        <f t="shared" si="29"/>
        <v>135.83651324279884</v>
      </c>
    </row>
    <row r="142" spans="2:18">
      <c r="B142" s="6">
        <v>129.75</v>
      </c>
      <c r="C142" s="6">
        <v>126.87</v>
      </c>
      <c r="D142" s="7">
        <f t="shared" si="30"/>
        <v>128.31</v>
      </c>
      <c r="E142" s="18">
        <f t="shared" si="16"/>
        <v>122.75</v>
      </c>
      <c r="F142" s="18">
        <f t="shared" si="17"/>
        <v>137.44</v>
      </c>
      <c r="G142" s="19">
        <f t="shared" si="18"/>
        <v>14.689999999999998</v>
      </c>
      <c r="H142" s="21">
        <f t="shared" si="19"/>
        <v>126.06</v>
      </c>
      <c r="I142" s="22">
        <f t="shared" si="20"/>
        <v>139.19</v>
      </c>
      <c r="J142" s="20">
        <f t="shared" si="21"/>
        <v>13.129999999999995</v>
      </c>
      <c r="K142" s="14">
        <f t="shared" si="22"/>
        <v>122.75</v>
      </c>
      <c r="L142" s="14">
        <f t="shared" si="23"/>
        <v>139.19</v>
      </c>
      <c r="M142" s="14">
        <f t="shared" si="24"/>
        <v>16.439999999999998</v>
      </c>
      <c r="N142" s="23">
        <f t="shared" si="25"/>
        <v>1.758912120860556</v>
      </c>
      <c r="O142" s="23">
        <f t="shared" si="26"/>
        <v>1.758912120860556</v>
      </c>
      <c r="P142" s="28">
        <f t="shared" si="27"/>
        <v>3.035119243560928E-2</v>
      </c>
      <c r="Q142" s="28">
        <f t="shared" si="28"/>
        <v>3.035119243560928E-2</v>
      </c>
      <c r="R142" s="27">
        <f t="shared" si="29"/>
        <v>135.60807459099749</v>
      </c>
    </row>
    <row r="143" spans="2:18">
      <c r="B143" s="6">
        <v>128.5</v>
      </c>
      <c r="C143" s="6">
        <v>123.5</v>
      </c>
      <c r="D143" s="7">
        <f t="shared" si="30"/>
        <v>126</v>
      </c>
      <c r="E143" s="18">
        <f t="shared" si="16"/>
        <v>124.37</v>
      </c>
      <c r="F143" s="18">
        <f t="shared" si="17"/>
        <v>138.69</v>
      </c>
      <c r="G143" s="19">
        <f t="shared" si="18"/>
        <v>14.319999999999993</v>
      </c>
      <c r="H143" s="21">
        <f t="shared" si="19"/>
        <v>123.5</v>
      </c>
      <c r="I143" s="22">
        <f t="shared" si="20"/>
        <v>139.19</v>
      </c>
      <c r="J143" s="20">
        <f t="shared" si="21"/>
        <v>15.689999999999998</v>
      </c>
      <c r="K143" s="14">
        <f t="shared" si="22"/>
        <v>123.5</v>
      </c>
      <c r="L143" s="14">
        <f t="shared" si="23"/>
        <v>139.19</v>
      </c>
      <c r="M143" s="14">
        <f t="shared" si="24"/>
        <v>15.689999999999998</v>
      </c>
      <c r="N143" s="23">
        <f t="shared" si="25"/>
        <v>1.9355979666301906</v>
      </c>
      <c r="O143" s="23">
        <f t="shared" si="26"/>
        <v>1.9355979666301906</v>
      </c>
      <c r="P143" s="28">
        <f t="shared" si="27"/>
        <v>1.3452533020604401E-2</v>
      </c>
      <c r="Q143" s="28">
        <f t="shared" si="28"/>
        <v>1.3452533020604401E-2</v>
      </c>
      <c r="R143" s="27">
        <f t="shared" si="29"/>
        <v>135.47882165029768</v>
      </c>
    </row>
    <row r="144" spans="2:18">
      <c r="B144" s="6">
        <v>125.44</v>
      </c>
      <c r="C144" s="6">
        <v>122.62</v>
      </c>
      <c r="D144" s="7">
        <f t="shared" si="30"/>
        <v>124.03</v>
      </c>
      <c r="E144" s="18">
        <f t="shared" si="16"/>
        <v>128</v>
      </c>
      <c r="F144" s="18">
        <f t="shared" si="17"/>
        <v>139.19</v>
      </c>
      <c r="G144" s="19">
        <f t="shared" si="18"/>
        <v>11.189999999999998</v>
      </c>
      <c r="H144" s="21">
        <f t="shared" si="19"/>
        <v>122.62</v>
      </c>
      <c r="I144" s="22">
        <f t="shared" si="20"/>
        <v>138.88</v>
      </c>
      <c r="J144" s="20">
        <f t="shared" si="21"/>
        <v>16.259999999999991</v>
      </c>
      <c r="K144" s="14">
        <f t="shared" si="22"/>
        <v>122.62</v>
      </c>
      <c r="L144" s="14">
        <f t="shared" si="23"/>
        <v>139.19</v>
      </c>
      <c r="M144" s="14">
        <f t="shared" si="24"/>
        <v>16.569999999999993</v>
      </c>
      <c r="N144" s="23">
        <f t="shared" si="25"/>
        <v>1.7282325466711093</v>
      </c>
      <c r="O144" s="23">
        <f t="shared" si="26"/>
        <v>1.7282325466711093</v>
      </c>
      <c r="P144" s="28">
        <f t="shared" si="27"/>
        <v>3.4957060539909879E-2</v>
      </c>
      <c r="Q144" s="28">
        <f t="shared" si="28"/>
        <v>3.4957060539909879E-2</v>
      </c>
      <c r="R144" s="27">
        <f t="shared" si="29"/>
        <v>135.07860449875758</v>
      </c>
    </row>
    <row r="145" spans="2:18">
      <c r="B145" s="6">
        <v>125.12</v>
      </c>
      <c r="C145" s="6">
        <v>122.75</v>
      </c>
      <c r="D145" s="7">
        <f t="shared" si="30"/>
        <v>123.935</v>
      </c>
      <c r="E145" s="18">
        <f t="shared" si="16"/>
        <v>129.5</v>
      </c>
      <c r="F145" s="18">
        <f t="shared" si="17"/>
        <v>139.19</v>
      </c>
      <c r="G145" s="19">
        <f t="shared" si="18"/>
        <v>9.6899999999999977</v>
      </c>
      <c r="H145" s="21">
        <f t="shared" si="19"/>
        <v>122.62</v>
      </c>
      <c r="I145" s="22">
        <f t="shared" si="20"/>
        <v>138.88</v>
      </c>
      <c r="J145" s="20">
        <f t="shared" si="21"/>
        <v>16.259999999999991</v>
      </c>
      <c r="K145" s="14">
        <f t="shared" si="22"/>
        <v>122.62</v>
      </c>
      <c r="L145" s="14">
        <f t="shared" si="23"/>
        <v>139.19</v>
      </c>
      <c r="M145" s="14">
        <f t="shared" si="24"/>
        <v>16.569999999999993</v>
      </c>
      <c r="N145" s="23">
        <f t="shared" si="25"/>
        <v>1.6471609360237915</v>
      </c>
      <c r="O145" s="23">
        <f t="shared" si="26"/>
        <v>1.6471609360237915</v>
      </c>
      <c r="P145" s="28">
        <f t="shared" si="27"/>
        <v>5.0778296592787882E-2</v>
      </c>
      <c r="Q145" s="28">
        <f t="shared" si="28"/>
        <v>5.0778296592787882E-2</v>
      </c>
      <c r="R145" s="27">
        <f t="shared" si="29"/>
        <v>134.51275124440696</v>
      </c>
    </row>
    <row r="146" spans="2:18">
      <c r="B146" s="6">
        <v>126.5</v>
      </c>
      <c r="C146" s="6">
        <v>123.56</v>
      </c>
      <c r="D146" s="7">
        <f t="shared" si="30"/>
        <v>125.03</v>
      </c>
      <c r="E146" s="18">
        <f t="shared" si="16"/>
        <v>130.63</v>
      </c>
      <c r="F146" s="18">
        <f t="shared" si="17"/>
        <v>139.19</v>
      </c>
      <c r="G146" s="19">
        <f t="shared" si="18"/>
        <v>8.5600000000000023</v>
      </c>
      <c r="H146" s="21">
        <f t="shared" si="19"/>
        <v>122.62</v>
      </c>
      <c r="I146" s="22">
        <f t="shared" si="20"/>
        <v>138.88</v>
      </c>
      <c r="J146" s="20">
        <f t="shared" si="21"/>
        <v>16.259999999999991</v>
      </c>
      <c r="K146" s="14">
        <f t="shared" si="22"/>
        <v>122.62</v>
      </c>
      <c r="L146" s="14">
        <f t="shared" si="23"/>
        <v>139.19</v>
      </c>
      <c r="M146" s="14">
        <f t="shared" si="24"/>
        <v>16.569999999999993</v>
      </c>
      <c r="N146" s="23">
        <f t="shared" si="25"/>
        <v>1.5829295129089052</v>
      </c>
      <c r="O146" s="23">
        <f t="shared" si="26"/>
        <v>1.5829295129089052</v>
      </c>
      <c r="P146" s="28">
        <f t="shared" si="27"/>
        <v>6.825602206802478E-2</v>
      </c>
      <c r="Q146" s="28">
        <f t="shared" si="28"/>
        <v>6.825602206802478E-2</v>
      </c>
      <c r="R146" s="27">
        <f t="shared" si="29"/>
        <v>133.86549636620313</v>
      </c>
    </row>
    <row r="147" spans="2:18">
      <c r="B147" s="6">
        <v>128.69</v>
      </c>
      <c r="C147" s="6">
        <v>125.81</v>
      </c>
      <c r="D147" s="7">
        <f t="shared" si="30"/>
        <v>127.25</v>
      </c>
      <c r="E147" s="18">
        <f t="shared" si="16"/>
        <v>130.63</v>
      </c>
      <c r="F147" s="18">
        <f t="shared" si="17"/>
        <v>139.19</v>
      </c>
      <c r="G147" s="19">
        <f t="shared" si="18"/>
        <v>8.5600000000000023</v>
      </c>
      <c r="H147" s="21">
        <f t="shared" si="19"/>
        <v>122.62</v>
      </c>
      <c r="I147" s="22">
        <f t="shared" si="20"/>
        <v>138.88</v>
      </c>
      <c r="J147" s="20">
        <f t="shared" si="21"/>
        <v>16.259999999999991</v>
      </c>
      <c r="K147" s="14">
        <f t="shared" si="22"/>
        <v>122.62</v>
      </c>
      <c r="L147" s="14">
        <f t="shared" si="23"/>
        <v>139.19</v>
      </c>
      <c r="M147" s="14">
        <f t="shared" si="24"/>
        <v>16.569999999999993</v>
      </c>
      <c r="N147" s="23">
        <f t="shared" si="25"/>
        <v>1.5829295129089052</v>
      </c>
      <c r="O147" s="23">
        <f t="shared" si="26"/>
        <v>1.5829295129089052</v>
      </c>
      <c r="P147" s="28">
        <f t="shared" si="27"/>
        <v>6.825602206802478E-2</v>
      </c>
      <c r="Q147" s="28">
        <f t="shared" si="28"/>
        <v>6.825602206802478E-2</v>
      </c>
      <c r="R147" s="27">
        <f t="shared" si="29"/>
        <v>133.41394890024063</v>
      </c>
    </row>
    <row r="148" spans="2:18">
      <c r="B148" s="6">
        <v>126.62</v>
      </c>
      <c r="C148" s="6">
        <v>124.62</v>
      </c>
      <c r="D148" s="7">
        <f t="shared" si="30"/>
        <v>125.62</v>
      </c>
      <c r="E148" s="18">
        <f t="shared" si="16"/>
        <v>132.13</v>
      </c>
      <c r="F148" s="18">
        <f t="shared" si="17"/>
        <v>139.19</v>
      </c>
      <c r="G148" s="19">
        <f t="shared" si="18"/>
        <v>7.0600000000000023</v>
      </c>
      <c r="H148" s="21">
        <f t="shared" si="19"/>
        <v>122.62</v>
      </c>
      <c r="I148" s="22">
        <f t="shared" si="20"/>
        <v>132.13</v>
      </c>
      <c r="J148" s="20">
        <f t="shared" si="21"/>
        <v>9.5099999999999909</v>
      </c>
      <c r="K148" s="14">
        <f t="shared" si="22"/>
        <v>122.62</v>
      </c>
      <c r="L148" s="14">
        <f t="shared" si="23"/>
        <v>139.19</v>
      </c>
      <c r="M148" s="14">
        <f t="shared" si="24"/>
        <v>16.569999999999993</v>
      </c>
      <c r="N148" s="23">
        <f t="shared" si="25"/>
        <v>1</v>
      </c>
      <c r="O148" s="23">
        <f t="shared" si="26"/>
        <v>1</v>
      </c>
      <c r="P148" s="28">
        <f t="shared" si="27"/>
        <v>1</v>
      </c>
      <c r="Q148" s="28">
        <f t="shared" si="28"/>
        <v>1</v>
      </c>
      <c r="R148" s="27">
        <f t="shared" si="29"/>
        <v>125.62</v>
      </c>
    </row>
    <row r="149" spans="2:18">
      <c r="B149" s="6">
        <v>126.69</v>
      </c>
      <c r="C149" s="6">
        <v>124.37</v>
      </c>
      <c r="D149" s="7">
        <f t="shared" si="30"/>
        <v>125.53</v>
      </c>
      <c r="E149" s="18">
        <f t="shared" ref="E149:E212" si="31">MIN(C134:C141)</f>
        <v>126.06</v>
      </c>
      <c r="F149" s="18">
        <f t="shared" ref="F149:F212" si="32">MAX(B134:B141)</f>
        <v>139.19</v>
      </c>
      <c r="G149" s="19">
        <f t="shared" ref="G149:G212" si="33">F149-E149</f>
        <v>13.129999999999995</v>
      </c>
      <c r="H149" s="21">
        <f t="shared" ref="H149:H212" si="34">MIN(C142:C149)</f>
        <v>122.62</v>
      </c>
      <c r="I149" s="22">
        <f t="shared" ref="I149:I212" si="35">MAX(B142:B149)</f>
        <v>129.75</v>
      </c>
      <c r="J149" s="20">
        <f t="shared" ref="J149:J212" si="36">I149-H149</f>
        <v>7.1299999999999955</v>
      </c>
      <c r="K149" s="14">
        <f t="shared" ref="K149:K212" si="37">MIN(C134:C149)</f>
        <v>122.62</v>
      </c>
      <c r="L149" s="14">
        <f t="shared" ref="L149:L212" si="38">MAX(B134:B149)</f>
        <v>139.19</v>
      </c>
      <c r="M149" s="14">
        <f t="shared" ref="M149:M212" si="39">L149-K149</f>
        <v>16.569999999999993</v>
      </c>
      <c r="N149" s="23">
        <f t="shared" ref="N149:N212" si="40">(LN((G149+J149)/8)-LN(M149/16))/LN(2)</f>
        <v>1.2900605715796862</v>
      </c>
      <c r="O149" s="23">
        <f t="shared" ref="O149:O212" si="41">MIN(MAX(N149,1),2)</f>
        <v>1.2900605715796862</v>
      </c>
      <c r="P149" s="28">
        <f t="shared" ref="P149:P212" si="42">EXP($N$2*(O149-1))</f>
        <v>0.26295344008621629</v>
      </c>
      <c r="Q149" s="28">
        <f t="shared" ref="Q149:Q212" si="43">MIN(MAX(P149,$M$2),1)</f>
        <v>0.26295344008621629</v>
      </c>
      <c r="R149" s="27">
        <f t="shared" ref="R149:R212" si="44">R148+(D149-R148)*Q149</f>
        <v>125.59633419039224</v>
      </c>
    </row>
    <row r="150" spans="2:18">
      <c r="B150" s="6">
        <v>126</v>
      </c>
      <c r="C150" s="6">
        <v>121.81</v>
      </c>
      <c r="D150" s="7">
        <f t="shared" si="30"/>
        <v>123.905</v>
      </c>
      <c r="E150" s="18">
        <f t="shared" si="31"/>
        <v>126.06</v>
      </c>
      <c r="F150" s="18">
        <f t="shared" si="32"/>
        <v>139.19</v>
      </c>
      <c r="G150" s="19">
        <f t="shared" si="33"/>
        <v>13.129999999999995</v>
      </c>
      <c r="H150" s="21">
        <f t="shared" si="34"/>
        <v>121.81</v>
      </c>
      <c r="I150" s="22">
        <f t="shared" si="35"/>
        <v>128.69</v>
      </c>
      <c r="J150" s="20">
        <f t="shared" si="36"/>
        <v>6.8799999999999955</v>
      </c>
      <c r="K150" s="14">
        <f t="shared" si="37"/>
        <v>121.81</v>
      </c>
      <c r="L150" s="14">
        <f t="shared" si="38"/>
        <v>139.19</v>
      </c>
      <c r="M150" s="14">
        <f t="shared" si="39"/>
        <v>17.379999999999995</v>
      </c>
      <c r="N150" s="23">
        <f t="shared" si="40"/>
        <v>1.2032930850913406</v>
      </c>
      <c r="O150" s="23">
        <f t="shared" si="41"/>
        <v>1.2032930850913406</v>
      </c>
      <c r="P150" s="28">
        <f t="shared" si="42"/>
        <v>0.39211533737131904</v>
      </c>
      <c r="Q150" s="28">
        <f t="shared" si="43"/>
        <v>0.39211533737131904</v>
      </c>
      <c r="R150" s="27">
        <f t="shared" si="44"/>
        <v>124.93313611371894</v>
      </c>
    </row>
    <row r="151" spans="2:18">
      <c r="B151" s="6">
        <v>123.12</v>
      </c>
      <c r="C151" s="6">
        <v>118.19</v>
      </c>
      <c r="D151" s="7">
        <f t="shared" si="30"/>
        <v>120.655</v>
      </c>
      <c r="E151" s="18">
        <f t="shared" si="31"/>
        <v>123.5</v>
      </c>
      <c r="F151" s="18">
        <f t="shared" si="32"/>
        <v>139.19</v>
      </c>
      <c r="G151" s="19">
        <f t="shared" si="33"/>
        <v>15.689999999999998</v>
      </c>
      <c r="H151" s="21">
        <f t="shared" si="34"/>
        <v>118.19</v>
      </c>
      <c r="I151" s="22">
        <f t="shared" si="35"/>
        <v>128.69</v>
      </c>
      <c r="J151" s="20">
        <f t="shared" si="36"/>
        <v>10.5</v>
      </c>
      <c r="K151" s="14">
        <f t="shared" si="37"/>
        <v>118.19</v>
      </c>
      <c r="L151" s="14">
        <f t="shared" si="38"/>
        <v>139.19</v>
      </c>
      <c r="M151" s="14">
        <f t="shared" si="39"/>
        <v>21</v>
      </c>
      <c r="N151" s="23">
        <f t="shared" si="40"/>
        <v>1.3186267317971112</v>
      </c>
      <c r="O151" s="23">
        <f t="shared" si="41"/>
        <v>1.3186267317971112</v>
      </c>
      <c r="P151" s="28">
        <f t="shared" si="42"/>
        <v>0.23054013142590959</v>
      </c>
      <c r="Q151" s="28">
        <f t="shared" si="43"/>
        <v>0.23054013142590959</v>
      </c>
      <c r="R151" s="27">
        <f t="shared" si="44"/>
        <v>123.94685405180425</v>
      </c>
    </row>
    <row r="152" spans="2:18">
      <c r="B152" s="6">
        <v>121.87</v>
      </c>
      <c r="C152" s="6">
        <v>118.06</v>
      </c>
      <c r="D152" s="7">
        <f t="shared" si="30"/>
        <v>119.965</v>
      </c>
      <c r="E152" s="18">
        <f t="shared" si="31"/>
        <v>122.62</v>
      </c>
      <c r="F152" s="18">
        <f t="shared" si="32"/>
        <v>138.88</v>
      </c>
      <c r="G152" s="19">
        <f t="shared" si="33"/>
        <v>16.259999999999991</v>
      </c>
      <c r="H152" s="21">
        <f t="shared" si="34"/>
        <v>118.06</v>
      </c>
      <c r="I152" s="22">
        <f t="shared" si="35"/>
        <v>128.69</v>
      </c>
      <c r="J152" s="20">
        <f t="shared" si="36"/>
        <v>10.629999999999995</v>
      </c>
      <c r="K152" s="14">
        <f t="shared" si="37"/>
        <v>118.06</v>
      </c>
      <c r="L152" s="14">
        <f t="shared" si="38"/>
        <v>138.88</v>
      </c>
      <c r="M152" s="14">
        <f t="shared" si="39"/>
        <v>20.819999999999993</v>
      </c>
      <c r="N152" s="23">
        <f t="shared" si="40"/>
        <v>1.3690996865734557</v>
      </c>
      <c r="O152" s="23">
        <f t="shared" si="41"/>
        <v>1.3690996865734557</v>
      </c>
      <c r="P152" s="28">
        <f t="shared" si="42"/>
        <v>0.18272611761348156</v>
      </c>
      <c r="Q152" s="28">
        <f t="shared" si="43"/>
        <v>0.18272611761348156</v>
      </c>
      <c r="R152" s="27">
        <f t="shared" si="44"/>
        <v>123.21926532001456</v>
      </c>
    </row>
    <row r="153" spans="2:18">
      <c r="B153" s="6">
        <v>124</v>
      </c>
      <c r="C153" s="6">
        <v>117.56</v>
      </c>
      <c r="D153" s="7">
        <f t="shared" si="30"/>
        <v>120.78</v>
      </c>
      <c r="E153" s="18">
        <f t="shared" si="31"/>
        <v>122.62</v>
      </c>
      <c r="F153" s="18">
        <f t="shared" si="32"/>
        <v>138.88</v>
      </c>
      <c r="G153" s="19">
        <f t="shared" si="33"/>
        <v>16.259999999999991</v>
      </c>
      <c r="H153" s="21">
        <f t="shared" si="34"/>
        <v>117.56</v>
      </c>
      <c r="I153" s="22">
        <f t="shared" si="35"/>
        <v>128.69</v>
      </c>
      <c r="J153" s="20">
        <f t="shared" si="36"/>
        <v>11.129999999999995</v>
      </c>
      <c r="K153" s="14">
        <f t="shared" si="37"/>
        <v>117.56</v>
      </c>
      <c r="L153" s="14">
        <f t="shared" si="38"/>
        <v>138.88</v>
      </c>
      <c r="M153" s="14">
        <f t="shared" si="39"/>
        <v>21.319999999999993</v>
      </c>
      <c r="N153" s="23">
        <f t="shared" si="40"/>
        <v>1.3614418279462019</v>
      </c>
      <c r="O153" s="23">
        <f t="shared" si="41"/>
        <v>1.3614418279462019</v>
      </c>
      <c r="P153" s="28">
        <f t="shared" si="42"/>
        <v>0.18928506306641593</v>
      </c>
      <c r="Q153" s="28">
        <f t="shared" si="43"/>
        <v>0.18928506306641593</v>
      </c>
      <c r="R153" s="27">
        <f t="shared" si="44"/>
        <v>122.75754883007988</v>
      </c>
    </row>
    <row r="154" spans="2:18">
      <c r="B154" s="6">
        <v>127</v>
      </c>
      <c r="C154" s="6">
        <v>121</v>
      </c>
      <c r="D154" s="7">
        <f t="shared" si="30"/>
        <v>124</v>
      </c>
      <c r="E154" s="18">
        <f t="shared" si="31"/>
        <v>122.62</v>
      </c>
      <c r="F154" s="18">
        <f t="shared" si="32"/>
        <v>138.88</v>
      </c>
      <c r="G154" s="19">
        <f t="shared" si="33"/>
        <v>16.259999999999991</v>
      </c>
      <c r="H154" s="21">
        <f t="shared" si="34"/>
        <v>117.56</v>
      </c>
      <c r="I154" s="22">
        <f t="shared" si="35"/>
        <v>128.69</v>
      </c>
      <c r="J154" s="20">
        <f t="shared" si="36"/>
        <v>11.129999999999995</v>
      </c>
      <c r="K154" s="14">
        <f t="shared" si="37"/>
        <v>117.56</v>
      </c>
      <c r="L154" s="14">
        <f t="shared" si="38"/>
        <v>138.88</v>
      </c>
      <c r="M154" s="14">
        <f t="shared" si="39"/>
        <v>21.319999999999993</v>
      </c>
      <c r="N154" s="23">
        <f t="shared" si="40"/>
        <v>1.3614418279462019</v>
      </c>
      <c r="O154" s="23">
        <f t="shared" si="41"/>
        <v>1.3614418279462019</v>
      </c>
      <c r="P154" s="28">
        <f t="shared" si="42"/>
        <v>0.18928506306641593</v>
      </c>
      <c r="Q154" s="28">
        <f t="shared" si="43"/>
        <v>0.18928506306641593</v>
      </c>
      <c r="R154" s="27">
        <f t="shared" si="44"/>
        <v>122.99272627813515</v>
      </c>
    </row>
    <row r="155" spans="2:18">
      <c r="B155" s="6">
        <v>124.44</v>
      </c>
      <c r="C155" s="6">
        <v>121.12</v>
      </c>
      <c r="D155" s="7">
        <f t="shared" si="30"/>
        <v>122.78</v>
      </c>
      <c r="E155" s="18">
        <f t="shared" si="31"/>
        <v>122.62</v>
      </c>
      <c r="F155" s="18">
        <f t="shared" si="32"/>
        <v>138.88</v>
      </c>
      <c r="G155" s="19">
        <f t="shared" si="33"/>
        <v>16.259999999999991</v>
      </c>
      <c r="H155" s="21">
        <f t="shared" si="34"/>
        <v>117.56</v>
      </c>
      <c r="I155" s="22">
        <f t="shared" si="35"/>
        <v>127</v>
      </c>
      <c r="J155" s="20">
        <f t="shared" si="36"/>
        <v>9.4399999999999977</v>
      </c>
      <c r="K155" s="14">
        <f t="shared" si="37"/>
        <v>117.56</v>
      </c>
      <c r="L155" s="14">
        <f t="shared" si="38"/>
        <v>138.88</v>
      </c>
      <c r="M155" s="14">
        <f t="shared" si="39"/>
        <v>21.319999999999993</v>
      </c>
      <c r="N155" s="23">
        <f t="shared" si="40"/>
        <v>1.2695609213220644</v>
      </c>
      <c r="O155" s="23">
        <f t="shared" si="41"/>
        <v>1.2695609213220644</v>
      </c>
      <c r="P155" s="28">
        <f t="shared" si="42"/>
        <v>0.28898690070424748</v>
      </c>
      <c r="Q155" s="28">
        <f t="shared" si="43"/>
        <v>0.28898690070424748</v>
      </c>
      <c r="R155" s="27">
        <f t="shared" si="44"/>
        <v>122.93125117031852</v>
      </c>
    </row>
    <row r="156" spans="2:18">
      <c r="B156" s="6">
        <v>122.5</v>
      </c>
      <c r="C156" s="6">
        <v>118.94</v>
      </c>
      <c r="D156" s="7">
        <f t="shared" si="30"/>
        <v>120.72</v>
      </c>
      <c r="E156" s="18">
        <f t="shared" si="31"/>
        <v>122.62</v>
      </c>
      <c r="F156" s="18">
        <f t="shared" si="32"/>
        <v>132.13</v>
      </c>
      <c r="G156" s="19">
        <f t="shared" si="33"/>
        <v>9.5099999999999909</v>
      </c>
      <c r="H156" s="21">
        <f t="shared" si="34"/>
        <v>117.56</v>
      </c>
      <c r="I156" s="22">
        <f t="shared" si="35"/>
        <v>127</v>
      </c>
      <c r="J156" s="20">
        <f t="shared" si="36"/>
        <v>9.4399999999999977</v>
      </c>
      <c r="K156" s="14">
        <f t="shared" si="37"/>
        <v>117.56</v>
      </c>
      <c r="L156" s="14">
        <f t="shared" si="38"/>
        <v>132.13</v>
      </c>
      <c r="M156" s="14">
        <f t="shared" si="39"/>
        <v>14.569999999999993</v>
      </c>
      <c r="N156" s="23">
        <f t="shared" si="40"/>
        <v>1.3791969709939413</v>
      </c>
      <c r="O156" s="23">
        <f t="shared" si="41"/>
        <v>1.3791969709939413</v>
      </c>
      <c r="P156" s="28">
        <f t="shared" si="42"/>
        <v>0.17442392619391295</v>
      </c>
      <c r="Q156" s="28">
        <f t="shared" si="43"/>
        <v>0.17442392619391295</v>
      </c>
      <c r="R156" s="27">
        <f t="shared" si="44"/>
        <v>122.54555605939068</v>
      </c>
    </row>
    <row r="157" spans="2:18">
      <c r="B157" s="6">
        <v>123.75</v>
      </c>
      <c r="C157" s="6">
        <v>119.81</v>
      </c>
      <c r="D157" s="7">
        <f t="shared" si="30"/>
        <v>121.78</v>
      </c>
      <c r="E157" s="18">
        <f t="shared" si="31"/>
        <v>122.62</v>
      </c>
      <c r="F157" s="18">
        <f t="shared" si="32"/>
        <v>129.75</v>
      </c>
      <c r="G157" s="19">
        <f t="shared" si="33"/>
        <v>7.1299999999999955</v>
      </c>
      <c r="H157" s="21">
        <f t="shared" si="34"/>
        <v>117.56</v>
      </c>
      <c r="I157" s="22">
        <f t="shared" si="35"/>
        <v>127</v>
      </c>
      <c r="J157" s="20">
        <f t="shared" si="36"/>
        <v>9.4399999999999977</v>
      </c>
      <c r="K157" s="14">
        <f t="shared" si="37"/>
        <v>117.56</v>
      </c>
      <c r="L157" s="14">
        <f t="shared" si="38"/>
        <v>129.75</v>
      </c>
      <c r="M157" s="14">
        <f t="shared" si="39"/>
        <v>12.189999999999998</v>
      </c>
      <c r="N157" s="23">
        <f t="shared" si="40"/>
        <v>1.4428754766012395</v>
      </c>
      <c r="O157" s="23">
        <f t="shared" si="41"/>
        <v>1.4428754766012395</v>
      </c>
      <c r="P157" s="28">
        <f t="shared" si="42"/>
        <v>0.13009153759735323</v>
      </c>
      <c r="Q157" s="28">
        <f t="shared" si="43"/>
        <v>0.13009153759735323</v>
      </c>
      <c r="R157" s="27">
        <f t="shared" si="44"/>
        <v>122.44596369450757</v>
      </c>
    </row>
    <row r="158" spans="2:18">
      <c r="B158" s="6">
        <v>123.81</v>
      </c>
      <c r="C158" s="6">
        <v>121</v>
      </c>
      <c r="D158" s="7">
        <f t="shared" si="30"/>
        <v>122.405</v>
      </c>
      <c r="E158" s="18">
        <f t="shared" si="31"/>
        <v>121.81</v>
      </c>
      <c r="F158" s="18">
        <f t="shared" si="32"/>
        <v>128.69</v>
      </c>
      <c r="G158" s="19">
        <f t="shared" si="33"/>
        <v>6.8799999999999955</v>
      </c>
      <c r="H158" s="21">
        <f t="shared" si="34"/>
        <v>117.56</v>
      </c>
      <c r="I158" s="22">
        <f t="shared" si="35"/>
        <v>127</v>
      </c>
      <c r="J158" s="20">
        <f t="shared" si="36"/>
        <v>9.4399999999999977</v>
      </c>
      <c r="K158" s="14">
        <f t="shared" si="37"/>
        <v>117.56</v>
      </c>
      <c r="L158" s="14">
        <f t="shared" si="38"/>
        <v>128.69</v>
      </c>
      <c r="M158" s="14">
        <f t="shared" si="39"/>
        <v>11.129999999999995</v>
      </c>
      <c r="N158" s="23">
        <f t="shared" si="40"/>
        <v>1.5521874646295359</v>
      </c>
      <c r="O158" s="23">
        <f t="shared" si="41"/>
        <v>1.5521874646295359</v>
      </c>
      <c r="P158" s="28">
        <f t="shared" si="42"/>
        <v>7.8636662113856517E-2</v>
      </c>
      <c r="Q158" s="28">
        <f t="shared" si="43"/>
        <v>7.8636662113856517E-2</v>
      </c>
      <c r="R158" s="27">
        <f t="shared" si="44"/>
        <v>122.44274244630364</v>
      </c>
    </row>
    <row r="159" spans="2:18">
      <c r="B159" s="6">
        <v>124.5</v>
      </c>
      <c r="C159" s="6">
        <v>122</v>
      </c>
      <c r="D159" s="7">
        <f t="shared" si="30"/>
        <v>123.25</v>
      </c>
      <c r="E159" s="18">
        <f t="shared" si="31"/>
        <v>118.19</v>
      </c>
      <c r="F159" s="18">
        <f t="shared" si="32"/>
        <v>128.69</v>
      </c>
      <c r="G159" s="19">
        <f t="shared" si="33"/>
        <v>10.5</v>
      </c>
      <c r="H159" s="21">
        <f t="shared" si="34"/>
        <v>117.56</v>
      </c>
      <c r="I159" s="22">
        <f t="shared" si="35"/>
        <v>127</v>
      </c>
      <c r="J159" s="20">
        <f t="shared" si="36"/>
        <v>9.4399999999999977</v>
      </c>
      <c r="K159" s="14">
        <f t="shared" si="37"/>
        <v>117.56</v>
      </c>
      <c r="L159" s="14">
        <f t="shared" si="38"/>
        <v>128.69</v>
      </c>
      <c r="M159" s="14">
        <f t="shared" si="39"/>
        <v>11.129999999999995</v>
      </c>
      <c r="N159" s="23">
        <f t="shared" si="40"/>
        <v>1.841211817056237</v>
      </c>
      <c r="O159" s="23">
        <f t="shared" si="41"/>
        <v>1.841211817056237</v>
      </c>
      <c r="P159" s="28">
        <f t="shared" si="42"/>
        <v>2.077669028603598E-2</v>
      </c>
      <c r="Q159" s="28">
        <f t="shared" si="43"/>
        <v>2.077669028603598E-2</v>
      </c>
      <c r="R159" s="27">
        <f t="shared" si="44"/>
        <v>122.45951458647785</v>
      </c>
    </row>
    <row r="160" spans="2:18">
      <c r="B160" s="6">
        <v>127.87</v>
      </c>
      <c r="C160" s="6">
        <v>124.5</v>
      </c>
      <c r="D160" s="7">
        <f t="shared" si="30"/>
        <v>126.185</v>
      </c>
      <c r="E160" s="18">
        <f t="shared" si="31"/>
        <v>118.06</v>
      </c>
      <c r="F160" s="18">
        <f t="shared" si="32"/>
        <v>128.69</v>
      </c>
      <c r="G160" s="19">
        <f t="shared" si="33"/>
        <v>10.629999999999995</v>
      </c>
      <c r="H160" s="21">
        <f t="shared" si="34"/>
        <v>117.56</v>
      </c>
      <c r="I160" s="22">
        <f t="shared" si="35"/>
        <v>127.87</v>
      </c>
      <c r="J160" s="20">
        <f t="shared" si="36"/>
        <v>10.310000000000002</v>
      </c>
      <c r="K160" s="14">
        <f t="shared" si="37"/>
        <v>117.56</v>
      </c>
      <c r="L160" s="14">
        <f t="shared" si="38"/>
        <v>128.69</v>
      </c>
      <c r="M160" s="14">
        <f t="shared" si="39"/>
        <v>11.129999999999995</v>
      </c>
      <c r="N160" s="23">
        <f t="shared" si="40"/>
        <v>1.9118078495888493</v>
      </c>
      <c r="O160" s="23">
        <f t="shared" si="41"/>
        <v>1.9118078495888493</v>
      </c>
      <c r="P160" s="28">
        <f t="shared" si="42"/>
        <v>1.5010124719513011E-2</v>
      </c>
      <c r="Q160" s="28">
        <f t="shared" si="43"/>
        <v>1.5010124719513011E-2</v>
      </c>
      <c r="R160" s="27">
        <f t="shared" si="44"/>
        <v>122.51543458717555</v>
      </c>
    </row>
    <row r="161" spans="2:18">
      <c r="B161" s="6">
        <v>128.56</v>
      </c>
      <c r="C161" s="6">
        <v>126.56</v>
      </c>
      <c r="D161" s="7">
        <f t="shared" si="30"/>
        <v>127.56</v>
      </c>
      <c r="E161" s="18">
        <f t="shared" si="31"/>
        <v>117.56</v>
      </c>
      <c r="F161" s="18">
        <f t="shared" si="32"/>
        <v>128.69</v>
      </c>
      <c r="G161" s="19">
        <f t="shared" si="33"/>
        <v>11.129999999999995</v>
      </c>
      <c r="H161" s="21">
        <f t="shared" si="34"/>
        <v>118.94</v>
      </c>
      <c r="I161" s="22">
        <f t="shared" si="35"/>
        <v>128.56</v>
      </c>
      <c r="J161" s="20">
        <f t="shared" si="36"/>
        <v>9.6200000000000045</v>
      </c>
      <c r="K161" s="14">
        <f t="shared" si="37"/>
        <v>117.56</v>
      </c>
      <c r="L161" s="14">
        <f t="shared" si="38"/>
        <v>128.69</v>
      </c>
      <c r="M161" s="14">
        <f t="shared" si="39"/>
        <v>11.129999999999995</v>
      </c>
      <c r="N161" s="23">
        <f t="shared" si="40"/>
        <v>1.8986577437796908</v>
      </c>
      <c r="O161" s="23">
        <f t="shared" si="41"/>
        <v>1.8986577437796908</v>
      </c>
      <c r="P161" s="28">
        <f t="shared" si="42"/>
        <v>1.5947202626337014E-2</v>
      </c>
      <c r="Q161" s="28">
        <f t="shared" si="43"/>
        <v>1.5947202626337014E-2</v>
      </c>
      <c r="R161" s="27">
        <f t="shared" si="44"/>
        <v>122.59588129397567</v>
      </c>
    </row>
    <row r="162" spans="2:18">
      <c r="B162" s="6">
        <v>129.63</v>
      </c>
      <c r="C162" s="6">
        <v>123.5</v>
      </c>
      <c r="D162" s="7">
        <f t="shared" si="30"/>
        <v>126.565</v>
      </c>
      <c r="E162" s="18">
        <f t="shared" si="31"/>
        <v>117.56</v>
      </c>
      <c r="F162" s="18">
        <f t="shared" si="32"/>
        <v>128.69</v>
      </c>
      <c r="G162" s="19">
        <f t="shared" si="33"/>
        <v>11.129999999999995</v>
      </c>
      <c r="H162" s="21">
        <f t="shared" si="34"/>
        <v>118.94</v>
      </c>
      <c r="I162" s="22">
        <f t="shared" si="35"/>
        <v>129.63</v>
      </c>
      <c r="J162" s="20">
        <f t="shared" si="36"/>
        <v>10.689999999999998</v>
      </c>
      <c r="K162" s="14">
        <f t="shared" si="37"/>
        <v>117.56</v>
      </c>
      <c r="L162" s="14">
        <f t="shared" si="38"/>
        <v>129.63</v>
      </c>
      <c r="M162" s="14">
        <f t="shared" si="39"/>
        <v>12.069999999999993</v>
      </c>
      <c r="N162" s="23">
        <f t="shared" si="40"/>
        <v>1.8542254255685862</v>
      </c>
      <c r="O162" s="23">
        <f t="shared" si="41"/>
        <v>1.8542254255685862</v>
      </c>
      <c r="P162" s="28">
        <f t="shared" si="42"/>
        <v>1.9568122067440883E-2</v>
      </c>
      <c r="Q162" s="28">
        <f t="shared" si="43"/>
        <v>1.9568122067440883E-2</v>
      </c>
      <c r="R162" s="27">
        <f t="shared" si="44"/>
        <v>122.67354949331531</v>
      </c>
    </row>
    <row r="163" spans="2:18">
      <c r="B163" s="6">
        <v>124.87</v>
      </c>
      <c r="C163" s="6">
        <v>121.25</v>
      </c>
      <c r="D163" s="7">
        <f t="shared" si="30"/>
        <v>123.06</v>
      </c>
      <c r="E163" s="18">
        <f t="shared" si="31"/>
        <v>117.56</v>
      </c>
      <c r="F163" s="18">
        <f t="shared" si="32"/>
        <v>127</v>
      </c>
      <c r="G163" s="19">
        <f t="shared" si="33"/>
        <v>9.4399999999999977</v>
      </c>
      <c r="H163" s="21">
        <f t="shared" si="34"/>
        <v>118.94</v>
      </c>
      <c r="I163" s="22">
        <f t="shared" si="35"/>
        <v>129.63</v>
      </c>
      <c r="J163" s="20">
        <f t="shared" si="36"/>
        <v>10.689999999999998</v>
      </c>
      <c r="K163" s="14">
        <f t="shared" si="37"/>
        <v>117.56</v>
      </c>
      <c r="L163" s="14">
        <f t="shared" si="38"/>
        <v>129.63</v>
      </c>
      <c r="M163" s="14">
        <f t="shared" si="39"/>
        <v>12.069999999999993</v>
      </c>
      <c r="N163" s="23">
        <f t="shared" si="40"/>
        <v>1.7379214961663187</v>
      </c>
      <c r="O163" s="23">
        <f t="shared" si="41"/>
        <v>1.7379214961663187</v>
      </c>
      <c r="P163" s="28">
        <f t="shared" si="42"/>
        <v>3.3431588123361729E-2</v>
      </c>
      <c r="Q163" s="28">
        <f t="shared" si="43"/>
        <v>3.3431588123361729E-2</v>
      </c>
      <c r="R163" s="27">
        <f t="shared" si="44"/>
        <v>122.68646914748486</v>
      </c>
    </row>
    <row r="164" spans="2:18">
      <c r="B164" s="6">
        <v>124.37</v>
      </c>
      <c r="C164" s="6">
        <v>121.06</v>
      </c>
      <c r="D164" s="7">
        <f t="shared" si="30"/>
        <v>122.715</v>
      </c>
      <c r="E164" s="18">
        <f t="shared" si="31"/>
        <v>117.56</v>
      </c>
      <c r="F164" s="18">
        <f t="shared" si="32"/>
        <v>127</v>
      </c>
      <c r="G164" s="19">
        <f t="shared" si="33"/>
        <v>9.4399999999999977</v>
      </c>
      <c r="H164" s="21">
        <f t="shared" si="34"/>
        <v>119.81</v>
      </c>
      <c r="I164" s="22">
        <f t="shared" si="35"/>
        <v>129.63</v>
      </c>
      <c r="J164" s="20">
        <f t="shared" si="36"/>
        <v>9.8199999999999932</v>
      </c>
      <c r="K164" s="14">
        <f t="shared" si="37"/>
        <v>117.56</v>
      </c>
      <c r="L164" s="14">
        <f t="shared" si="38"/>
        <v>129.63</v>
      </c>
      <c r="M164" s="14">
        <f t="shared" si="39"/>
        <v>12.069999999999993</v>
      </c>
      <c r="N164" s="23">
        <f t="shared" si="40"/>
        <v>1.674182027088438</v>
      </c>
      <c r="O164" s="23">
        <f t="shared" si="41"/>
        <v>1.674182027088438</v>
      </c>
      <c r="P164" s="28">
        <f t="shared" si="42"/>
        <v>4.4836937967569442E-2</v>
      </c>
      <c r="Q164" s="28">
        <f t="shared" si="43"/>
        <v>4.4836937967569442E-2</v>
      </c>
      <c r="R164" s="27">
        <f t="shared" si="44"/>
        <v>122.68774838354923</v>
      </c>
    </row>
    <row r="165" spans="2:18">
      <c r="B165" s="6">
        <v>124.87</v>
      </c>
      <c r="C165" s="6">
        <v>122.31</v>
      </c>
      <c r="D165" s="7">
        <f t="shared" si="30"/>
        <v>123.59</v>
      </c>
      <c r="E165" s="18">
        <f t="shared" si="31"/>
        <v>117.56</v>
      </c>
      <c r="F165" s="18">
        <f t="shared" si="32"/>
        <v>127</v>
      </c>
      <c r="G165" s="19">
        <f t="shared" si="33"/>
        <v>9.4399999999999977</v>
      </c>
      <c r="H165" s="21">
        <f t="shared" si="34"/>
        <v>121</v>
      </c>
      <c r="I165" s="22">
        <f t="shared" si="35"/>
        <v>129.63</v>
      </c>
      <c r="J165" s="20">
        <f t="shared" si="36"/>
        <v>8.6299999999999955</v>
      </c>
      <c r="K165" s="14">
        <f t="shared" si="37"/>
        <v>117.56</v>
      </c>
      <c r="L165" s="14">
        <f t="shared" si="38"/>
        <v>129.63</v>
      </c>
      <c r="M165" s="14">
        <f t="shared" si="39"/>
        <v>12.069999999999993</v>
      </c>
      <c r="N165" s="23">
        <f t="shared" si="40"/>
        <v>1.5821708301095785</v>
      </c>
      <c r="O165" s="23">
        <f t="shared" si="41"/>
        <v>1.5821708301095785</v>
      </c>
      <c r="P165" s="28">
        <f t="shared" si="42"/>
        <v>6.8494916374931283E-2</v>
      </c>
      <c r="Q165" s="28">
        <f t="shared" si="43"/>
        <v>6.8494916374931283E-2</v>
      </c>
      <c r="R165" s="27">
        <f t="shared" si="44"/>
        <v>122.74954803256718</v>
      </c>
    </row>
    <row r="166" spans="2:18">
      <c r="B166" s="6">
        <v>123.62</v>
      </c>
      <c r="C166" s="6">
        <v>121</v>
      </c>
      <c r="D166" s="7">
        <f t="shared" si="30"/>
        <v>122.31</v>
      </c>
      <c r="E166" s="18">
        <f t="shared" si="31"/>
        <v>117.56</v>
      </c>
      <c r="F166" s="18">
        <f t="shared" si="32"/>
        <v>127</v>
      </c>
      <c r="G166" s="19">
        <f t="shared" si="33"/>
        <v>9.4399999999999977</v>
      </c>
      <c r="H166" s="21">
        <f t="shared" si="34"/>
        <v>121</v>
      </c>
      <c r="I166" s="22">
        <f t="shared" si="35"/>
        <v>129.63</v>
      </c>
      <c r="J166" s="20">
        <f t="shared" si="36"/>
        <v>8.6299999999999955</v>
      </c>
      <c r="K166" s="14">
        <f t="shared" si="37"/>
        <v>117.56</v>
      </c>
      <c r="L166" s="14">
        <f t="shared" si="38"/>
        <v>129.63</v>
      </c>
      <c r="M166" s="14">
        <f t="shared" si="39"/>
        <v>12.069999999999993</v>
      </c>
      <c r="N166" s="23">
        <f t="shared" si="40"/>
        <v>1.5821708301095785</v>
      </c>
      <c r="O166" s="23">
        <f t="shared" si="41"/>
        <v>1.5821708301095785</v>
      </c>
      <c r="P166" s="28">
        <f t="shared" si="42"/>
        <v>6.8494916374931283E-2</v>
      </c>
      <c r="Q166" s="28">
        <f t="shared" si="43"/>
        <v>6.8494916374931283E-2</v>
      </c>
      <c r="R166" s="27">
        <f t="shared" si="44"/>
        <v>122.71944122683372</v>
      </c>
    </row>
    <row r="167" spans="2:18">
      <c r="B167" s="6">
        <v>124.06</v>
      </c>
      <c r="C167" s="6">
        <v>120.87</v>
      </c>
      <c r="D167" s="7">
        <f t="shared" si="30"/>
        <v>122.465</v>
      </c>
      <c r="E167" s="18">
        <f t="shared" si="31"/>
        <v>117.56</v>
      </c>
      <c r="F167" s="18">
        <f t="shared" si="32"/>
        <v>127</v>
      </c>
      <c r="G167" s="19">
        <f t="shared" si="33"/>
        <v>9.4399999999999977</v>
      </c>
      <c r="H167" s="21">
        <f t="shared" si="34"/>
        <v>120.87</v>
      </c>
      <c r="I167" s="22">
        <f t="shared" si="35"/>
        <v>129.63</v>
      </c>
      <c r="J167" s="20">
        <f t="shared" si="36"/>
        <v>8.7599999999999909</v>
      </c>
      <c r="K167" s="14">
        <f t="shared" si="37"/>
        <v>117.56</v>
      </c>
      <c r="L167" s="14">
        <f t="shared" si="38"/>
        <v>129.63</v>
      </c>
      <c r="M167" s="14">
        <f t="shared" si="39"/>
        <v>12.069999999999993</v>
      </c>
      <c r="N167" s="23">
        <f t="shared" si="40"/>
        <v>1.5925127743310372</v>
      </c>
      <c r="O167" s="23">
        <f t="shared" si="41"/>
        <v>1.5925127743310372</v>
      </c>
      <c r="P167" s="28">
        <f t="shared" si="42"/>
        <v>6.5309213143406722E-2</v>
      </c>
      <c r="Q167" s="28">
        <f t="shared" si="43"/>
        <v>6.5309213143406722E-2</v>
      </c>
      <c r="R167" s="27">
        <f t="shared" si="44"/>
        <v>122.70282387051797</v>
      </c>
    </row>
    <row r="168" spans="2:18">
      <c r="B168" s="6">
        <v>125.87</v>
      </c>
      <c r="C168" s="6">
        <v>122.06</v>
      </c>
      <c r="D168" s="7">
        <f t="shared" si="30"/>
        <v>123.965</v>
      </c>
      <c r="E168" s="18">
        <f t="shared" si="31"/>
        <v>117.56</v>
      </c>
      <c r="F168" s="18">
        <f t="shared" si="32"/>
        <v>127.87</v>
      </c>
      <c r="G168" s="19">
        <f t="shared" si="33"/>
        <v>10.310000000000002</v>
      </c>
      <c r="H168" s="21">
        <f t="shared" si="34"/>
        <v>120.87</v>
      </c>
      <c r="I168" s="22">
        <f t="shared" si="35"/>
        <v>129.63</v>
      </c>
      <c r="J168" s="20">
        <f t="shared" si="36"/>
        <v>8.7599999999999909</v>
      </c>
      <c r="K168" s="14">
        <f t="shared" si="37"/>
        <v>117.56</v>
      </c>
      <c r="L168" s="14">
        <f t="shared" si="38"/>
        <v>129.63</v>
      </c>
      <c r="M168" s="14">
        <f t="shared" si="39"/>
        <v>12.069999999999993</v>
      </c>
      <c r="N168" s="23">
        <f t="shared" si="40"/>
        <v>1.6598791675577351</v>
      </c>
      <c r="O168" s="23">
        <f t="shared" si="41"/>
        <v>1.6598791675577351</v>
      </c>
      <c r="P168" s="28">
        <f t="shared" si="42"/>
        <v>4.7889650204868184E-2</v>
      </c>
      <c r="Q168" s="28">
        <f t="shared" si="43"/>
        <v>4.7889650204868184E-2</v>
      </c>
      <c r="R168" s="27">
        <f t="shared" si="44"/>
        <v>122.7632690438558</v>
      </c>
    </row>
    <row r="169" spans="2:18">
      <c r="B169" s="6">
        <v>125.19</v>
      </c>
      <c r="C169" s="6">
        <v>122.75</v>
      </c>
      <c r="D169" s="7">
        <f t="shared" si="30"/>
        <v>123.97</v>
      </c>
      <c r="E169" s="18">
        <f t="shared" si="31"/>
        <v>118.94</v>
      </c>
      <c r="F169" s="18">
        <f t="shared" si="32"/>
        <v>128.56</v>
      </c>
      <c r="G169" s="19">
        <f t="shared" si="33"/>
        <v>9.6200000000000045</v>
      </c>
      <c r="H169" s="21">
        <f t="shared" si="34"/>
        <v>120.87</v>
      </c>
      <c r="I169" s="22">
        <f t="shared" si="35"/>
        <v>129.63</v>
      </c>
      <c r="J169" s="20">
        <f t="shared" si="36"/>
        <v>8.7599999999999909</v>
      </c>
      <c r="K169" s="14">
        <f t="shared" si="37"/>
        <v>118.94</v>
      </c>
      <c r="L169" s="14">
        <f t="shared" si="38"/>
        <v>129.63</v>
      </c>
      <c r="M169" s="14">
        <f t="shared" si="39"/>
        <v>10.689999999999998</v>
      </c>
      <c r="N169" s="23">
        <f t="shared" si="40"/>
        <v>1.7818749135685441</v>
      </c>
      <c r="O169" s="23">
        <f t="shared" si="41"/>
        <v>1.7818749135685441</v>
      </c>
      <c r="P169" s="28">
        <f t="shared" si="42"/>
        <v>2.7305502477790507E-2</v>
      </c>
      <c r="Q169" s="28">
        <f t="shared" si="43"/>
        <v>2.7305502477790507E-2</v>
      </c>
      <c r="R169" s="27">
        <f t="shared" si="44"/>
        <v>122.79621943896882</v>
      </c>
    </row>
    <row r="170" spans="2:18">
      <c r="B170" s="6">
        <v>125.62</v>
      </c>
      <c r="C170" s="6">
        <v>122.69</v>
      </c>
      <c r="D170" s="7">
        <f t="shared" si="30"/>
        <v>124.155</v>
      </c>
      <c r="E170" s="18">
        <f t="shared" si="31"/>
        <v>118.94</v>
      </c>
      <c r="F170" s="18">
        <f t="shared" si="32"/>
        <v>129.63</v>
      </c>
      <c r="G170" s="19">
        <f t="shared" si="33"/>
        <v>10.689999999999998</v>
      </c>
      <c r="H170" s="21">
        <f t="shared" si="34"/>
        <v>120.87</v>
      </c>
      <c r="I170" s="22">
        <f t="shared" si="35"/>
        <v>125.87</v>
      </c>
      <c r="J170" s="20">
        <f t="shared" si="36"/>
        <v>5</v>
      </c>
      <c r="K170" s="14">
        <f t="shared" si="37"/>
        <v>118.94</v>
      </c>
      <c r="L170" s="14">
        <f t="shared" si="38"/>
        <v>129.63</v>
      </c>
      <c r="M170" s="14">
        <f t="shared" si="39"/>
        <v>10.689999999999998</v>
      </c>
      <c r="N170" s="23">
        <f t="shared" si="40"/>
        <v>1.553583499247607</v>
      </c>
      <c r="O170" s="23">
        <f t="shared" si="41"/>
        <v>1.553583499247607</v>
      </c>
      <c r="P170" s="28">
        <f t="shared" si="42"/>
        <v>7.8132730439900225E-2</v>
      </c>
      <c r="Q170" s="28">
        <f t="shared" si="43"/>
        <v>7.8132730439900225E-2</v>
      </c>
      <c r="R170" s="27">
        <f t="shared" si="44"/>
        <v>122.90238467427085</v>
      </c>
    </row>
    <row r="171" spans="2:18">
      <c r="B171" s="6">
        <v>126</v>
      </c>
      <c r="C171" s="6">
        <v>122.87</v>
      </c>
      <c r="D171" s="7">
        <f t="shared" si="30"/>
        <v>124.435</v>
      </c>
      <c r="E171" s="18">
        <f t="shared" si="31"/>
        <v>118.94</v>
      </c>
      <c r="F171" s="18">
        <f t="shared" si="32"/>
        <v>129.63</v>
      </c>
      <c r="G171" s="19">
        <f t="shared" si="33"/>
        <v>10.689999999999998</v>
      </c>
      <c r="H171" s="21">
        <f t="shared" si="34"/>
        <v>120.87</v>
      </c>
      <c r="I171" s="22">
        <f t="shared" si="35"/>
        <v>126</v>
      </c>
      <c r="J171" s="20">
        <f t="shared" si="36"/>
        <v>5.1299999999999955</v>
      </c>
      <c r="K171" s="14">
        <f t="shared" si="37"/>
        <v>118.94</v>
      </c>
      <c r="L171" s="14">
        <f t="shared" si="38"/>
        <v>129.63</v>
      </c>
      <c r="M171" s="14">
        <f t="shared" si="39"/>
        <v>10.689999999999998</v>
      </c>
      <c r="N171" s="23">
        <f t="shared" si="40"/>
        <v>1.565487746752301</v>
      </c>
      <c r="O171" s="23">
        <f t="shared" si="41"/>
        <v>1.565487746752301</v>
      </c>
      <c r="P171" s="28">
        <f t="shared" si="42"/>
        <v>7.3964701089744317E-2</v>
      </c>
      <c r="Q171" s="28">
        <f t="shared" si="43"/>
        <v>7.3964701089744317E-2</v>
      </c>
      <c r="R171" s="27">
        <f t="shared" si="44"/>
        <v>123.01574410872396</v>
      </c>
    </row>
    <row r="172" spans="2:18">
      <c r="B172" s="6">
        <v>128.5</v>
      </c>
      <c r="C172" s="6">
        <v>125.5</v>
      </c>
      <c r="D172" s="7">
        <f t="shared" si="30"/>
        <v>127</v>
      </c>
      <c r="E172" s="18">
        <f t="shared" si="31"/>
        <v>119.81</v>
      </c>
      <c r="F172" s="18">
        <f t="shared" si="32"/>
        <v>129.63</v>
      </c>
      <c r="G172" s="19">
        <f t="shared" si="33"/>
        <v>9.8199999999999932</v>
      </c>
      <c r="H172" s="21">
        <f t="shared" si="34"/>
        <v>120.87</v>
      </c>
      <c r="I172" s="22">
        <f t="shared" si="35"/>
        <v>128.5</v>
      </c>
      <c r="J172" s="20">
        <f t="shared" si="36"/>
        <v>7.6299999999999955</v>
      </c>
      <c r="K172" s="14">
        <f t="shared" si="37"/>
        <v>119.81</v>
      </c>
      <c r="L172" s="14">
        <f t="shared" si="38"/>
        <v>129.63</v>
      </c>
      <c r="M172" s="14">
        <f t="shared" si="39"/>
        <v>9.8199999999999932</v>
      </c>
      <c r="N172" s="23">
        <f t="shared" si="40"/>
        <v>1.8294321067823218</v>
      </c>
      <c r="O172" s="23">
        <f t="shared" si="41"/>
        <v>1.8294321067823218</v>
      </c>
      <c r="P172" s="28">
        <f t="shared" si="42"/>
        <v>2.1934906445422297E-2</v>
      </c>
      <c r="Q172" s="28">
        <f t="shared" si="43"/>
        <v>2.1934906445422297E-2</v>
      </c>
      <c r="R172" s="27">
        <f t="shared" si="44"/>
        <v>123.10313838895372</v>
      </c>
    </row>
    <row r="173" spans="2:18">
      <c r="B173" s="6">
        <v>126.75</v>
      </c>
      <c r="C173" s="6">
        <v>124.25</v>
      </c>
      <c r="D173" s="7">
        <f t="shared" si="30"/>
        <v>125.5</v>
      </c>
      <c r="E173" s="18">
        <f t="shared" si="31"/>
        <v>121</v>
      </c>
      <c r="F173" s="18">
        <f t="shared" si="32"/>
        <v>129.63</v>
      </c>
      <c r="G173" s="19">
        <f t="shared" si="33"/>
        <v>8.6299999999999955</v>
      </c>
      <c r="H173" s="21">
        <f t="shared" si="34"/>
        <v>120.87</v>
      </c>
      <c r="I173" s="22">
        <f t="shared" si="35"/>
        <v>128.5</v>
      </c>
      <c r="J173" s="20">
        <f t="shared" si="36"/>
        <v>7.6299999999999955</v>
      </c>
      <c r="K173" s="14">
        <f t="shared" si="37"/>
        <v>120.87</v>
      </c>
      <c r="L173" s="14">
        <f t="shared" si="38"/>
        <v>129.63</v>
      </c>
      <c r="M173" s="14">
        <f t="shared" si="39"/>
        <v>8.7599999999999909</v>
      </c>
      <c r="N173" s="23">
        <f t="shared" si="40"/>
        <v>1.8923244824738548</v>
      </c>
      <c r="O173" s="23">
        <f t="shared" si="41"/>
        <v>1.8923244824738548</v>
      </c>
      <c r="P173" s="28">
        <f t="shared" si="42"/>
        <v>1.6419163784223308E-2</v>
      </c>
      <c r="Q173" s="28">
        <f t="shared" si="43"/>
        <v>1.6419163784223308E-2</v>
      </c>
      <c r="R173" s="27">
        <f t="shared" si="44"/>
        <v>123.14249285231361</v>
      </c>
    </row>
    <row r="174" spans="2:18">
      <c r="B174" s="6">
        <v>129.75</v>
      </c>
      <c r="C174" s="6">
        <v>128</v>
      </c>
      <c r="D174" s="7">
        <f t="shared" si="30"/>
        <v>128.875</v>
      </c>
      <c r="E174" s="18">
        <f t="shared" si="31"/>
        <v>121</v>
      </c>
      <c r="F174" s="18">
        <f t="shared" si="32"/>
        <v>129.63</v>
      </c>
      <c r="G174" s="19">
        <f t="shared" si="33"/>
        <v>8.6299999999999955</v>
      </c>
      <c r="H174" s="21">
        <f t="shared" si="34"/>
        <v>120.87</v>
      </c>
      <c r="I174" s="22">
        <f t="shared" si="35"/>
        <v>129.75</v>
      </c>
      <c r="J174" s="20">
        <f t="shared" si="36"/>
        <v>8.8799999999999955</v>
      </c>
      <c r="K174" s="14">
        <f t="shared" si="37"/>
        <v>120.87</v>
      </c>
      <c r="L174" s="14">
        <f t="shared" si="38"/>
        <v>129.75</v>
      </c>
      <c r="M174" s="14">
        <f t="shared" si="39"/>
        <v>8.8799999999999955</v>
      </c>
      <c r="N174" s="23">
        <f t="shared" si="40"/>
        <v>1.9795475020834519</v>
      </c>
      <c r="O174" s="23">
        <f t="shared" si="41"/>
        <v>1.9795475020834519</v>
      </c>
      <c r="P174" s="28">
        <f t="shared" si="42"/>
        <v>1.0987654525078614E-2</v>
      </c>
      <c r="Q174" s="28">
        <f t="shared" si="43"/>
        <v>1.0987654525078614E-2</v>
      </c>
      <c r="R174" s="27">
        <f t="shared" si="44"/>
        <v>123.20547966041494</v>
      </c>
    </row>
    <row r="175" spans="2:18">
      <c r="B175" s="6">
        <v>132.69</v>
      </c>
      <c r="C175" s="6">
        <v>128.38</v>
      </c>
      <c r="D175" s="7">
        <f t="shared" si="30"/>
        <v>130.535</v>
      </c>
      <c r="E175" s="18">
        <f t="shared" si="31"/>
        <v>120.87</v>
      </c>
      <c r="F175" s="18">
        <f t="shared" si="32"/>
        <v>129.63</v>
      </c>
      <c r="G175" s="19">
        <f t="shared" si="33"/>
        <v>8.7599999999999909</v>
      </c>
      <c r="H175" s="21">
        <f t="shared" si="34"/>
        <v>122.06</v>
      </c>
      <c r="I175" s="22">
        <f t="shared" si="35"/>
        <v>132.69</v>
      </c>
      <c r="J175" s="20">
        <f t="shared" si="36"/>
        <v>10.629999999999995</v>
      </c>
      <c r="K175" s="14">
        <f t="shared" si="37"/>
        <v>120.87</v>
      </c>
      <c r="L175" s="14">
        <f t="shared" si="38"/>
        <v>132.69</v>
      </c>
      <c r="M175" s="14">
        <f t="shared" si="39"/>
        <v>11.819999999999993</v>
      </c>
      <c r="N175" s="23">
        <f t="shared" si="40"/>
        <v>1.7140827679292598</v>
      </c>
      <c r="O175" s="23">
        <f t="shared" si="41"/>
        <v>1.7140827679292598</v>
      </c>
      <c r="P175" s="28">
        <f t="shared" si="42"/>
        <v>3.7310791672626041E-2</v>
      </c>
      <c r="Q175" s="28">
        <f t="shared" si="43"/>
        <v>3.7310791672626041E-2</v>
      </c>
      <c r="R175" s="27">
        <f t="shared" si="44"/>
        <v>123.47894986686548</v>
      </c>
    </row>
    <row r="176" spans="2:18">
      <c r="B176" s="6">
        <v>133.94</v>
      </c>
      <c r="C176" s="6">
        <v>130.69</v>
      </c>
      <c r="D176" s="7">
        <f t="shared" si="30"/>
        <v>132.315</v>
      </c>
      <c r="E176" s="18">
        <f t="shared" si="31"/>
        <v>120.87</v>
      </c>
      <c r="F176" s="18">
        <f t="shared" si="32"/>
        <v>129.63</v>
      </c>
      <c r="G176" s="19">
        <f t="shared" si="33"/>
        <v>8.7599999999999909</v>
      </c>
      <c r="H176" s="21">
        <f t="shared" si="34"/>
        <v>122.69</v>
      </c>
      <c r="I176" s="22">
        <f t="shared" si="35"/>
        <v>133.94</v>
      </c>
      <c r="J176" s="20">
        <f t="shared" si="36"/>
        <v>11.25</v>
      </c>
      <c r="K176" s="14">
        <f t="shared" si="37"/>
        <v>120.87</v>
      </c>
      <c r="L176" s="14">
        <f t="shared" si="38"/>
        <v>133.94</v>
      </c>
      <c r="M176" s="14">
        <f t="shared" si="39"/>
        <v>13.069999999999993</v>
      </c>
      <c r="N176" s="23">
        <f t="shared" si="40"/>
        <v>1.6144620261103082</v>
      </c>
      <c r="O176" s="23">
        <f t="shared" si="41"/>
        <v>1.6144620261103082</v>
      </c>
      <c r="P176" s="28">
        <f t="shared" si="42"/>
        <v>5.9030430133373252E-2</v>
      </c>
      <c r="Q176" s="28">
        <f t="shared" si="43"/>
        <v>5.9030430133373252E-2</v>
      </c>
      <c r="R176" s="27">
        <f t="shared" si="44"/>
        <v>124.00054570690446</v>
      </c>
    </row>
    <row r="177" spans="2:18">
      <c r="B177" s="6">
        <v>136.5</v>
      </c>
      <c r="C177" s="6">
        <v>131.63</v>
      </c>
      <c r="D177" s="7">
        <f t="shared" si="30"/>
        <v>134.065</v>
      </c>
      <c r="E177" s="18">
        <f t="shared" si="31"/>
        <v>120.87</v>
      </c>
      <c r="F177" s="18">
        <f t="shared" si="32"/>
        <v>129.63</v>
      </c>
      <c r="G177" s="19">
        <f t="shared" si="33"/>
        <v>8.7599999999999909</v>
      </c>
      <c r="H177" s="21">
        <f t="shared" si="34"/>
        <v>122.69</v>
      </c>
      <c r="I177" s="22">
        <f t="shared" si="35"/>
        <v>136.5</v>
      </c>
      <c r="J177" s="20">
        <f t="shared" si="36"/>
        <v>13.810000000000002</v>
      </c>
      <c r="K177" s="14">
        <f t="shared" si="37"/>
        <v>120.87</v>
      </c>
      <c r="L177" s="14">
        <f t="shared" si="38"/>
        <v>136.5</v>
      </c>
      <c r="M177" s="14">
        <f t="shared" si="39"/>
        <v>15.629999999999995</v>
      </c>
      <c r="N177" s="23">
        <f t="shared" si="40"/>
        <v>1.5300886401921716</v>
      </c>
      <c r="O177" s="23">
        <f t="shared" si="41"/>
        <v>1.5300886401921716</v>
      </c>
      <c r="P177" s="28">
        <f t="shared" si="42"/>
        <v>8.7060813241185586E-2</v>
      </c>
      <c r="Q177" s="28">
        <f t="shared" si="43"/>
        <v>8.7060813241185586E-2</v>
      </c>
      <c r="R177" s="27">
        <f t="shared" si="44"/>
        <v>124.8767652824901</v>
      </c>
    </row>
    <row r="178" spans="2:18">
      <c r="B178" s="6">
        <v>137.69</v>
      </c>
      <c r="C178" s="6">
        <v>134.38</v>
      </c>
      <c r="D178" s="7">
        <f t="shared" si="30"/>
        <v>136.035</v>
      </c>
      <c r="E178" s="18">
        <f t="shared" si="31"/>
        <v>120.87</v>
      </c>
      <c r="F178" s="18">
        <f t="shared" si="32"/>
        <v>125.87</v>
      </c>
      <c r="G178" s="19">
        <f t="shared" si="33"/>
        <v>5</v>
      </c>
      <c r="H178" s="21">
        <f t="shared" si="34"/>
        <v>122.87</v>
      </c>
      <c r="I178" s="22">
        <f t="shared" si="35"/>
        <v>137.69</v>
      </c>
      <c r="J178" s="20">
        <f t="shared" si="36"/>
        <v>14.819999999999993</v>
      </c>
      <c r="K178" s="14">
        <f t="shared" si="37"/>
        <v>120.87</v>
      </c>
      <c r="L178" s="14">
        <f t="shared" si="38"/>
        <v>137.69</v>
      </c>
      <c r="M178" s="14">
        <f t="shared" si="39"/>
        <v>16.819999999999993</v>
      </c>
      <c r="N178" s="23">
        <f t="shared" si="40"/>
        <v>1.2367792569313441</v>
      </c>
      <c r="O178" s="23">
        <f t="shared" si="41"/>
        <v>1.2367792569313441</v>
      </c>
      <c r="P178" s="28">
        <f t="shared" si="42"/>
        <v>0.33607908500340539</v>
      </c>
      <c r="Q178" s="28">
        <f t="shared" si="43"/>
        <v>0.33607908500340539</v>
      </c>
      <c r="R178" s="27">
        <f t="shared" si="44"/>
        <v>128.62681459660405</v>
      </c>
    </row>
    <row r="179" spans="2:18">
      <c r="B179" s="6">
        <v>135.56</v>
      </c>
      <c r="C179" s="6">
        <v>132</v>
      </c>
      <c r="D179" s="7">
        <f t="shared" si="30"/>
        <v>133.78</v>
      </c>
      <c r="E179" s="18">
        <f t="shared" si="31"/>
        <v>120.87</v>
      </c>
      <c r="F179" s="18">
        <f t="shared" si="32"/>
        <v>126</v>
      </c>
      <c r="G179" s="19">
        <f t="shared" si="33"/>
        <v>5.1299999999999955</v>
      </c>
      <c r="H179" s="21">
        <f t="shared" si="34"/>
        <v>124.25</v>
      </c>
      <c r="I179" s="22">
        <f t="shared" si="35"/>
        <v>137.69</v>
      </c>
      <c r="J179" s="20">
        <f t="shared" si="36"/>
        <v>13.439999999999998</v>
      </c>
      <c r="K179" s="14">
        <f t="shared" si="37"/>
        <v>120.87</v>
      </c>
      <c r="L179" s="14">
        <f t="shared" si="38"/>
        <v>137.69</v>
      </c>
      <c r="M179" s="14">
        <f t="shared" si="39"/>
        <v>16.819999999999993</v>
      </c>
      <c r="N179" s="23">
        <f t="shared" si="40"/>
        <v>1.1427961096802766</v>
      </c>
      <c r="O179" s="23">
        <f t="shared" si="41"/>
        <v>1.1427961096802766</v>
      </c>
      <c r="P179" s="28">
        <f t="shared" si="42"/>
        <v>0.51809306692891766</v>
      </c>
      <c r="Q179" s="28">
        <f t="shared" si="43"/>
        <v>0.51809306692891766</v>
      </c>
      <c r="R179" s="27">
        <f t="shared" si="44"/>
        <v>131.2966442267028</v>
      </c>
    </row>
    <row r="180" spans="2:18">
      <c r="B180" s="6">
        <v>133.56</v>
      </c>
      <c r="C180" s="6">
        <v>131.94</v>
      </c>
      <c r="D180" s="7">
        <f t="shared" si="30"/>
        <v>132.75</v>
      </c>
      <c r="E180" s="18">
        <f t="shared" si="31"/>
        <v>120.87</v>
      </c>
      <c r="F180" s="18">
        <f t="shared" si="32"/>
        <v>128.5</v>
      </c>
      <c r="G180" s="19">
        <f t="shared" si="33"/>
        <v>7.6299999999999955</v>
      </c>
      <c r="H180" s="21">
        <f t="shared" si="34"/>
        <v>124.25</v>
      </c>
      <c r="I180" s="22">
        <f t="shared" si="35"/>
        <v>137.69</v>
      </c>
      <c r="J180" s="20">
        <f t="shared" si="36"/>
        <v>13.439999999999998</v>
      </c>
      <c r="K180" s="14">
        <f t="shared" si="37"/>
        <v>120.87</v>
      </c>
      <c r="L180" s="14">
        <f t="shared" si="38"/>
        <v>137.69</v>
      </c>
      <c r="M180" s="14">
        <f t="shared" si="39"/>
        <v>16.819999999999993</v>
      </c>
      <c r="N180" s="23">
        <f t="shared" si="40"/>
        <v>1.3250126085621621</v>
      </c>
      <c r="O180" s="23">
        <f t="shared" si="41"/>
        <v>1.3250126085621621</v>
      </c>
      <c r="P180" s="28">
        <f t="shared" si="42"/>
        <v>0.22385911519517229</v>
      </c>
      <c r="Q180" s="28">
        <f t="shared" si="43"/>
        <v>0.22385911519517229</v>
      </c>
      <c r="R180" s="27">
        <f t="shared" si="44"/>
        <v>131.6219911641769</v>
      </c>
    </row>
    <row r="181" spans="2:18">
      <c r="B181" s="6">
        <v>135</v>
      </c>
      <c r="C181" s="6">
        <v>131.94</v>
      </c>
      <c r="D181" s="7">
        <f t="shared" si="30"/>
        <v>133.47</v>
      </c>
      <c r="E181" s="18">
        <f t="shared" si="31"/>
        <v>120.87</v>
      </c>
      <c r="F181" s="18">
        <f t="shared" si="32"/>
        <v>128.5</v>
      </c>
      <c r="G181" s="19">
        <f t="shared" si="33"/>
        <v>7.6299999999999955</v>
      </c>
      <c r="H181" s="21">
        <f t="shared" si="34"/>
        <v>128</v>
      </c>
      <c r="I181" s="22">
        <f t="shared" si="35"/>
        <v>137.69</v>
      </c>
      <c r="J181" s="20">
        <f t="shared" si="36"/>
        <v>9.6899999999999977</v>
      </c>
      <c r="K181" s="14">
        <f t="shared" si="37"/>
        <v>120.87</v>
      </c>
      <c r="L181" s="14">
        <f t="shared" si="38"/>
        <v>137.69</v>
      </c>
      <c r="M181" s="14">
        <f t="shared" si="39"/>
        <v>16.819999999999993</v>
      </c>
      <c r="N181" s="23">
        <f t="shared" si="40"/>
        <v>1.0422612244715808</v>
      </c>
      <c r="O181" s="23">
        <f t="shared" si="41"/>
        <v>1.0422612244715808</v>
      </c>
      <c r="P181" s="28">
        <f t="shared" si="42"/>
        <v>0.82314728684299576</v>
      </c>
      <c r="Q181" s="28">
        <f t="shared" si="43"/>
        <v>0.82314728684299576</v>
      </c>
      <c r="R181" s="27">
        <f t="shared" si="44"/>
        <v>133.14317462344655</v>
      </c>
    </row>
    <row r="182" spans="2:18">
      <c r="B182" s="6">
        <v>132.38</v>
      </c>
      <c r="C182" s="6">
        <v>129.56</v>
      </c>
      <c r="D182" s="7">
        <f t="shared" si="30"/>
        <v>130.97</v>
      </c>
      <c r="E182" s="18">
        <f t="shared" si="31"/>
        <v>120.87</v>
      </c>
      <c r="F182" s="18">
        <f t="shared" si="32"/>
        <v>129.75</v>
      </c>
      <c r="G182" s="19">
        <f t="shared" si="33"/>
        <v>8.8799999999999955</v>
      </c>
      <c r="H182" s="21">
        <f t="shared" si="34"/>
        <v>128.38</v>
      </c>
      <c r="I182" s="22">
        <f t="shared" si="35"/>
        <v>137.69</v>
      </c>
      <c r="J182" s="20">
        <f t="shared" si="36"/>
        <v>9.3100000000000023</v>
      </c>
      <c r="K182" s="14">
        <f t="shared" si="37"/>
        <v>120.87</v>
      </c>
      <c r="L182" s="14">
        <f t="shared" si="38"/>
        <v>137.69</v>
      </c>
      <c r="M182" s="14">
        <f t="shared" si="39"/>
        <v>16.819999999999993</v>
      </c>
      <c r="N182" s="23">
        <f t="shared" si="40"/>
        <v>1.1129678373963425</v>
      </c>
      <c r="O182" s="23">
        <f t="shared" si="41"/>
        <v>1.1129678373963425</v>
      </c>
      <c r="P182" s="28">
        <f t="shared" si="42"/>
        <v>0.59438018827999384</v>
      </c>
      <c r="Q182" s="28">
        <f t="shared" si="43"/>
        <v>0.59438018827999384</v>
      </c>
      <c r="R182" s="27">
        <f t="shared" si="44"/>
        <v>131.85148268159708</v>
      </c>
    </row>
    <row r="183" spans="2:18">
      <c r="B183" s="6">
        <v>131.44</v>
      </c>
      <c r="C183" s="6">
        <v>123.75</v>
      </c>
      <c r="D183" s="7">
        <f t="shared" si="30"/>
        <v>127.595</v>
      </c>
      <c r="E183" s="18">
        <f t="shared" si="31"/>
        <v>122.06</v>
      </c>
      <c r="F183" s="18">
        <f t="shared" si="32"/>
        <v>132.69</v>
      </c>
      <c r="G183" s="19">
        <f t="shared" si="33"/>
        <v>10.629999999999995</v>
      </c>
      <c r="H183" s="21">
        <f t="shared" si="34"/>
        <v>123.75</v>
      </c>
      <c r="I183" s="22">
        <f t="shared" si="35"/>
        <v>137.69</v>
      </c>
      <c r="J183" s="20">
        <f t="shared" si="36"/>
        <v>13.939999999999998</v>
      </c>
      <c r="K183" s="14">
        <f t="shared" si="37"/>
        <v>122.06</v>
      </c>
      <c r="L183" s="14">
        <f t="shared" si="38"/>
        <v>137.69</v>
      </c>
      <c r="M183" s="14">
        <f t="shared" si="39"/>
        <v>15.629999999999995</v>
      </c>
      <c r="N183" s="23">
        <f t="shared" si="40"/>
        <v>1.6525800793625005</v>
      </c>
      <c r="O183" s="23">
        <f t="shared" si="41"/>
        <v>1.6525800793625005</v>
      </c>
      <c r="P183" s="28">
        <f t="shared" si="42"/>
        <v>4.9526751281892843E-2</v>
      </c>
      <c r="Q183" s="28">
        <f t="shared" si="43"/>
        <v>4.9526751281892843E-2</v>
      </c>
      <c r="R183" s="27">
        <f t="shared" si="44"/>
        <v>131.64067292248993</v>
      </c>
    </row>
    <row r="184" spans="2:18">
      <c r="B184" s="6">
        <v>130.88</v>
      </c>
      <c r="C184" s="6">
        <v>126</v>
      </c>
      <c r="D184" s="7">
        <f t="shared" si="30"/>
        <v>128.44</v>
      </c>
      <c r="E184" s="18">
        <f t="shared" si="31"/>
        <v>122.69</v>
      </c>
      <c r="F184" s="18">
        <f t="shared" si="32"/>
        <v>133.94</v>
      </c>
      <c r="G184" s="19">
        <f t="shared" si="33"/>
        <v>11.25</v>
      </c>
      <c r="H184" s="21">
        <f t="shared" si="34"/>
        <v>123.75</v>
      </c>
      <c r="I184" s="22">
        <f t="shared" si="35"/>
        <v>137.69</v>
      </c>
      <c r="J184" s="20">
        <f t="shared" si="36"/>
        <v>13.939999999999998</v>
      </c>
      <c r="K184" s="14">
        <f t="shared" si="37"/>
        <v>122.69</v>
      </c>
      <c r="L184" s="14">
        <f t="shared" si="38"/>
        <v>137.69</v>
      </c>
      <c r="M184" s="14">
        <f t="shared" si="39"/>
        <v>15</v>
      </c>
      <c r="N184" s="23">
        <f t="shared" si="40"/>
        <v>1.7478886213509979</v>
      </c>
      <c r="O184" s="23">
        <f t="shared" si="41"/>
        <v>1.7478886213509979</v>
      </c>
      <c r="P184" s="28">
        <f t="shared" si="42"/>
        <v>3.1931752710392489E-2</v>
      </c>
      <c r="Q184" s="28">
        <f t="shared" si="43"/>
        <v>3.1931752710392489E-2</v>
      </c>
      <c r="R184" s="27">
        <f t="shared" si="44"/>
        <v>131.53846982622213</v>
      </c>
    </row>
    <row r="185" spans="2:18">
      <c r="B185" s="6">
        <v>129.63</v>
      </c>
      <c r="C185" s="6">
        <v>126.25</v>
      </c>
      <c r="D185" s="7">
        <f t="shared" si="30"/>
        <v>127.94</v>
      </c>
      <c r="E185" s="18">
        <f t="shared" si="31"/>
        <v>122.69</v>
      </c>
      <c r="F185" s="18">
        <f t="shared" si="32"/>
        <v>136.5</v>
      </c>
      <c r="G185" s="19">
        <f t="shared" si="33"/>
        <v>13.810000000000002</v>
      </c>
      <c r="H185" s="21">
        <f t="shared" si="34"/>
        <v>123.75</v>
      </c>
      <c r="I185" s="22">
        <f t="shared" si="35"/>
        <v>137.69</v>
      </c>
      <c r="J185" s="20">
        <f t="shared" si="36"/>
        <v>13.939999999999998</v>
      </c>
      <c r="K185" s="14">
        <f t="shared" si="37"/>
        <v>122.69</v>
      </c>
      <c r="L185" s="14">
        <f t="shared" si="38"/>
        <v>137.69</v>
      </c>
      <c r="M185" s="14">
        <f t="shared" si="39"/>
        <v>15</v>
      </c>
      <c r="N185" s="23">
        <f t="shared" si="40"/>
        <v>1.8875252707415873</v>
      </c>
      <c r="O185" s="23">
        <f t="shared" si="41"/>
        <v>1.8875252707415873</v>
      </c>
      <c r="P185" s="28">
        <f t="shared" si="42"/>
        <v>1.6786086568836976E-2</v>
      </c>
      <c r="Q185" s="28">
        <f t="shared" si="43"/>
        <v>1.6786086568836976E-2</v>
      </c>
      <c r="R185" s="27">
        <f t="shared" si="44"/>
        <v>131.47806560020382</v>
      </c>
    </row>
    <row r="186" spans="2:18">
      <c r="B186" s="6">
        <v>127.25</v>
      </c>
      <c r="C186" s="6">
        <v>124.37</v>
      </c>
      <c r="D186" s="7">
        <f t="shared" si="30"/>
        <v>125.81</v>
      </c>
      <c r="E186" s="18">
        <f t="shared" si="31"/>
        <v>122.87</v>
      </c>
      <c r="F186" s="18">
        <f t="shared" si="32"/>
        <v>137.69</v>
      </c>
      <c r="G186" s="19">
        <f t="shared" si="33"/>
        <v>14.819999999999993</v>
      </c>
      <c r="H186" s="21">
        <f t="shared" si="34"/>
        <v>123.75</v>
      </c>
      <c r="I186" s="22">
        <f t="shared" si="35"/>
        <v>135.56</v>
      </c>
      <c r="J186" s="20">
        <f t="shared" si="36"/>
        <v>11.810000000000002</v>
      </c>
      <c r="K186" s="14">
        <f t="shared" si="37"/>
        <v>122.87</v>
      </c>
      <c r="L186" s="14">
        <f t="shared" si="38"/>
        <v>137.69</v>
      </c>
      <c r="M186" s="14">
        <f t="shared" si="39"/>
        <v>14.819999999999993</v>
      </c>
      <c r="N186" s="23">
        <f t="shared" si="40"/>
        <v>1.8455069809047806</v>
      </c>
      <c r="O186" s="23">
        <f t="shared" si="41"/>
        <v>1.8455069809047806</v>
      </c>
      <c r="P186" s="28">
        <f t="shared" si="42"/>
        <v>2.036976591411082E-2</v>
      </c>
      <c r="Q186" s="28">
        <f t="shared" si="43"/>
        <v>2.036976591411082E-2</v>
      </c>
      <c r="R186" s="27">
        <f t="shared" si="44"/>
        <v>131.36260843074186</v>
      </c>
    </row>
    <row r="187" spans="2:18">
      <c r="B187" s="6">
        <v>127.81</v>
      </c>
      <c r="C187" s="6">
        <v>121.44</v>
      </c>
      <c r="D187" s="7">
        <f t="shared" si="30"/>
        <v>124.625</v>
      </c>
      <c r="E187" s="18">
        <f t="shared" si="31"/>
        <v>124.25</v>
      </c>
      <c r="F187" s="18">
        <f t="shared" si="32"/>
        <v>137.69</v>
      </c>
      <c r="G187" s="19">
        <f t="shared" si="33"/>
        <v>13.439999999999998</v>
      </c>
      <c r="H187" s="21">
        <f t="shared" si="34"/>
        <v>121.44</v>
      </c>
      <c r="I187" s="22">
        <f t="shared" si="35"/>
        <v>135</v>
      </c>
      <c r="J187" s="20">
        <f t="shared" si="36"/>
        <v>13.560000000000002</v>
      </c>
      <c r="K187" s="14">
        <f t="shared" si="37"/>
        <v>121.44</v>
      </c>
      <c r="L187" s="14">
        <f t="shared" si="38"/>
        <v>137.69</v>
      </c>
      <c r="M187" s="14">
        <f t="shared" si="39"/>
        <v>16.25</v>
      </c>
      <c r="N187" s="23">
        <f t="shared" si="40"/>
        <v>1.7325196891350141</v>
      </c>
      <c r="O187" s="23">
        <f t="shared" si="41"/>
        <v>1.7325196891350141</v>
      </c>
      <c r="P187" s="28">
        <f t="shared" si="42"/>
        <v>3.4273670857721435E-2</v>
      </c>
      <c r="Q187" s="28">
        <f t="shared" si="43"/>
        <v>3.4273670857721435E-2</v>
      </c>
      <c r="R187" s="27">
        <f t="shared" si="44"/>
        <v>131.1316858570184</v>
      </c>
    </row>
    <row r="188" spans="2:18">
      <c r="B188" s="6">
        <v>125</v>
      </c>
      <c r="C188" s="6">
        <v>120.44</v>
      </c>
      <c r="D188" s="7">
        <f t="shared" si="30"/>
        <v>122.72</v>
      </c>
      <c r="E188" s="18">
        <f t="shared" si="31"/>
        <v>124.25</v>
      </c>
      <c r="F188" s="18">
        <f t="shared" si="32"/>
        <v>137.69</v>
      </c>
      <c r="G188" s="19">
        <f t="shared" si="33"/>
        <v>13.439999999999998</v>
      </c>
      <c r="H188" s="21">
        <f t="shared" si="34"/>
        <v>120.44</v>
      </c>
      <c r="I188" s="22">
        <f t="shared" si="35"/>
        <v>135</v>
      </c>
      <c r="J188" s="20">
        <f t="shared" si="36"/>
        <v>14.560000000000002</v>
      </c>
      <c r="K188" s="14">
        <f t="shared" si="37"/>
        <v>120.44</v>
      </c>
      <c r="L188" s="14">
        <f t="shared" si="38"/>
        <v>137.69</v>
      </c>
      <c r="M188" s="14">
        <f t="shared" si="39"/>
        <v>17.25</v>
      </c>
      <c r="N188" s="23">
        <f t="shared" si="40"/>
        <v>1.6988304652794353</v>
      </c>
      <c r="O188" s="23">
        <f t="shared" si="41"/>
        <v>1.6988304652794353</v>
      </c>
      <c r="P188" s="28">
        <f t="shared" si="42"/>
        <v>4.0025712304619258E-2</v>
      </c>
      <c r="Q188" s="28">
        <f t="shared" si="43"/>
        <v>4.0025712304619258E-2</v>
      </c>
      <c r="R188" s="27">
        <f t="shared" si="44"/>
        <v>130.79500213890856</v>
      </c>
    </row>
    <row r="189" spans="2:18">
      <c r="B189" s="6">
        <v>126.81</v>
      </c>
      <c r="C189" s="6">
        <v>121.37</v>
      </c>
      <c r="D189" s="7">
        <f t="shared" si="30"/>
        <v>124.09</v>
      </c>
      <c r="E189" s="18">
        <f t="shared" si="31"/>
        <v>128</v>
      </c>
      <c r="F189" s="18">
        <f t="shared" si="32"/>
        <v>137.69</v>
      </c>
      <c r="G189" s="19">
        <f t="shared" si="33"/>
        <v>9.6899999999999977</v>
      </c>
      <c r="H189" s="21">
        <f t="shared" si="34"/>
        <v>120.44</v>
      </c>
      <c r="I189" s="22">
        <f t="shared" si="35"/>
        <v>132.38</v>
      </c>
      <c r="J189" s="20">
        <f t="shared" si="36"/>
        <v>11.939999999999998</v>
      </c>
      <c r="K189" s="14">
        <f t="shared" si="37"/>
        <v>120.44</v>
      </c>
      <c r="L189" s="14">
        <f t="shared" si="38"/>
        <v>137.69</v>
      </c>
      <c r="M189" s="14">
        <f t="shared" si="39"/>
        <v>17.25</v>
      </c>
      <c r="N189" s="23">
        <f t="shared" si="40"/>
        <v>1.3264373034090846</v>
      </c>
      <c r="O189" s="23">
        <f t="shared" si="41"/>
        <v>1.3264373034090846</v>
      </c>
      <c r="P189" s="28">
        <f t="shared" si="42"/>
        <v>0.2223951916198306</v>
      </c>
      <c r="Q189" s="28">
        <f t="shared" si="43"/>
        <v>0.2223951916198306</v>
      </c>
      <c r="R189" s="27">
        <f t="shared" si="44"/>
        <v>129.30384190341462</v>
      </c>
    </row>
    <row r="190" spans="2:18">
      <c r="B190" s="6">
        <v>124.75</v>
      </c>
      <c r="C190" s="6">
        <v>121.69</v>
      </c>
      <c r="D190" s="7">
        <f t="shared" si="30"/>
        <v>123.22</v>
      </c>
      <c r="E190" s="18">
        <f t="shared" si="31"/>
        <v>128.38</v>
      </c>
      <c r="F190" s="18">
        <f t="shared" si="32"/>
        <v>137.69</v>
      </c>
      <c r="G190" s="19">
        <f t="shared" si="33"/>
        <v>9.3100000000000023</v>
      </c>
      <c r="H190" s="21">
        <f t="shared" si="34"/>
        <v>120.44</v>
      </c>
      <c r="I190" s="22">
        <f t="shared" si="35"/>
        <v>131.44</v>
      </c>
      <c r="J190" s="20">
        <f t="shared" si="36"/>
        <v>11</v>
      </c>
      <c r="K190" s="14">
        <f t="shared" si="37"/>
        <v>120.44</v>
      </c>
      <c r="L190" s="14">
        <f t="shared" si="38"/>
        <v>137.69</v>
      </c>
      <c r="M190" s="14">
        <f t="shared" si="39"/>
        <v>17.25</v>
      </c>
      <c r="N190" s="23">
        <f t="shared" si="40"/>
        <v>1.2355938777432594</v>
      </c>
      <c r="O190" s="23">
        <f t="shared" si="41"/>
        <v>1.2355938777432594</v>
      </c>
      <c r="P190" s="28">
        <f t="shared" si="42"/>
        <v>0.33791871459521849</v>
      </c>
      <c r="Q190" s="28">
        <f t="shared" si="43"/>
        <v>0.33791871459521849</v>
      </c>
      <c r="R190" s="27">
        <f t="shared" si="44"/>
        <v>127.24799786761223</v>
      </c>
    </row>
    <row r="191" spans="2:18">
      <c r="B191" s="6">
        <v>122.81</v>
      </c>
      <c r="C191" s="6">
        <v>120</v>
      </c>
      <c r="D191" s="7">
        <f t="shared" si="30"/>
        <v>121.405</v>
      </c>
      <c r="E191" s="18">
        <f t="shared" si="31"/>
        <v>123.75</v>
      </c>
      <c r="F191" s="18">
        <f t="shared" si="32"/>
        <v>137.69</v>
      </c>
      <c r="G191" s="19">
        <f t="shared" si="33"/>
        <v>13.939999999999998</v>
      </c>
      <c r="H191" s="21">
        <f t="shared" si="34"/>
        <v>120</v>
      </c>
      <c r="I191" s="22">
        <f t="shared" si="35"/>
        <v>130.88</v>
      </c>
      <c r="J191" s="20">
        <f t="shared" si="36"/>
        <v>10.879999999999995</v>
      </c>
      <c r="K191" s="14">
        <f t="shared" si="37"/>
        <v>120</v>
      </c>
      <c r="L191" s="14">
        <f t="shared" si="38"/>
        <v>137.69</v>
      </c>
      <c r="M191" s="14">
        <f t="shared" si="39"/>
        <v>17.689999999999998</v>
      </c>
      <c r="N191" s="23">
        <f t="shared" si="40"/>
        <v>1.4885690674398981</v>
      </c>
      <c r="O191" s="23">
        <f t="shared" si="41"/>
        <v>1.4885690674398981</v>
      </c>
      <c r="P191" s="28">
        <f t="shared" si="42"/>
        <v>0.10540515837109379</v>
      </c>
      <c r="Q191" s="28">
        <f t="shared" si="43"/>
        <v>0.10540515837109379</v>
      </c>
      <c r="R191" s="27">
        <f t="shared" si="44"/>
        <v>126.6321157520146</v>
      </c>
    </row>
    <row r="192" spans="2:18">
      <c r="B192" s="6">
        <v>122.25</v>
      </c>
      <c r="C192" s="6">
        <v>119.62</v>
      </c>
      <c r="D192" s="7">
        <f t="shared" si="30"/>
        <v>120.935</v>
      </c>
      <c r="E192" s="18">
        <f t="shared" si="31"/>
        <v>123.75</v>
      </c>
      <c r="F192" s="18">
        <f t="shared" si="32"/>
        <v>137.69</v>
      </c>
      <c r="G192" s="19">
        <f t="shared" si="33"/>
        <v>13.939999999999998</v>
      </c>
      <c r="H192" s="21">
        <f t="shared" si="34"/>
        <v>119.62</v>
      </c>
      <c r="I192" s="22">
        <f t="shared" si="35"/>
        <v>129.63</v>
      </c>
      <c r="J192" s="20">
        <f t="shared" si="36"/>
        <v>10.009999999999991</v>
      </c>
      <c r="K192" s="14">
        <f t="shared" si="37"/>
        <v>119.62</v>
      </c>
      <c r="L192" s="14">
        <f t="shared" si="38"/>
        <v>137.69</v>
      </c>
      <c r="M192" s="14">
        <f t="shared" si="39"/>
        <v>18.069999999999993</v>
      </c>
      <c r="N192" s="23">
        <f t="shared" si="40"/>
        <v>1.406429149758943</v>
      </c>
      <c r="O192" s="23">
        <f t="shared" si="41"/>
        <v>1.406429149758943</v>
      </c>
      <c r="P192" s="28">
        <f t="shared" si="42"/>
        <v>0.15386565873097624</v>
      </c>
      <c r="Q192" s="28">
        <f t="shared" si="43"/>
        <v>0.15386565873097624</v>
      </c>
      <c r="R192" s="27">
        <f t="shared" si="44"/>
        <v>125.75552528396425</v>
      </c>
    </row>
    <row r="193" spans="2:18">
      <c r="B193" s="6">
        <v>121.06</v>
      </c>
      <c r="C193" s="6">
        <v>115.5</v>
      </c>
      <c r="D193" s="7">
        <f t="shared" si="30"/>
        <v>118.28</v>
      </c>
      <c r="E193" s="18">
        <f t="shared" si="31"/>
        <v>123.75</v>
      </c>
      <c r="F193" s="18">
        <f t="shared" si="32"/>
        <v>137.69</v>
      </c>
      <c r="G193" s="19">
        <f t="shared" si="33"/>
        <v>13.939999999999998</v>
      </c>
      <c r="H193" s="21">
        <f t="shared" si="34"/>
        <v>115.5</v>
      </c>
      <c r="I193" s="22">
        <f t="shared" si="35"/>
        <v>127.81</v>
      </c>
      <c r="J193" s="20">
        <f t="shared" si="36"/>
        <v>12.310000000000002</v>
      </c>
      <c r="K193" s="14">
        <f t="shared" si="37"/>
        <v>115.5</v>
      </c>
      <c r="L193" s="14">
        <f t="shared" si="38"/>
        <v>137.69</v>
      </c>
      <c r="M193" s="14">
        <f t="shared" si="39"/>
        <v>22.189999999999998</v>
      </c>
      <c r="N193" s="23">
        <f t="shared" si="40"/>
        <v>1.242407755243836</v>
      </c>
      <c r="O193" s="23">
        <f t="shared" si="41"/>
        <v>1.242407755243836</v>
      </c>
      <c r="P193" s="28">
        <f t="shared" si="42"/>
        <v>0.32747977966258274</v>
      </c>
      <c r="Q193" s="28">
        <f t="shared" si="43"/>
        <v>0.32747977966258274</v>
      </c>
      <c r="R193" s="27">
        <f t="shared" si="44"/>
        <v>123.30744191110956</v>
      </c>
    </row>
    <row r="194" spans="2:18">
      <c r="B194" s="6">
        <v>120</v>
      </c>
      <c r="C194" s="6">
        <v>116.75</v>
      </c>
      <c r="D194" s="7">
        <f t="shared" si="30"/>
        <v>118.375</v>
      </c>
      <c r="E194" s="18">
        <f t="shared" si="31"/>
        <v>123.75</v>
      </c>
      <c r="F194" s="18">
        <f t="shared" si="32"/>
        <v>135.56</v>
      </c>
      <c r="G194" s="19">
        <f t="shared" si="33"/>
        <v>11.810000000000002</v>
      </c>
      <c r="H194" s="21">
        <f t="shared" si="34"/>
        <v>115.5</v>
      </c>
      <c r="I194" s="22">
        <f t="shared" si="35"/>
        <v>127.81</v>
      </c>
      <c r="J194" s="20">
        <f t="shared" si="36"/>
        <v>12.310000000000002</v>
      </c>
      <c r="K194" s="14">
        <f t="shared" si="37"/>
        <v>115.5</v>
      </c>
      <c r="L194" s="14">
        <f t="shared" si="38"/>
        <v>135.56</v>
      </c>
      <c r="M194" s="14">
        <f t="shared" si="39"/>
        <v>20.060000000000002</v>
      </c>
      <c r="N194" s="23">
        <f t="shared" si="40"/>
        <v>1.2659083012879044</v>
      </c>
      <c r="O194" s="23">
        <f t="shared" si="41"/>
        <v>1.2659083012879044</v>
      </c>
      <c r="P194" s="28">
        <f t="shared" si="42"/>
        <v>0.29388904486403966</v>
      </c>
      <c r="Q194" s="28">
        <f t="shared" si="43"/>
        <v>0.29388904486403966</v>
      </c>
      <c r="R194" s="27">
        <f t="shared" si="44"/>
        <v>121.85785126900622</v>
      </c>
    </row>
    <row r="195" spans="2:18">
      <c r="B195" s="6">
        <v>123.25</v>
      </c>
      <c r="C195" s="6">
        <v>119.06</v>
      </c>
      <c r="D195" s="7">
        <f t="shared" si="30"/>
        <v>121.155</v>
      </c>
      <c r="E195" s="18">
        <f t="shared" si="31"/>
        <v>121.44</v>
      </c>
      <c r="F195" s="18">
        <f t="shared" si="32"/>
        <v>135</v>
      </c>
      <c r="G195" s="19">
        <f t="shared" si="33"/>
        <v>13.560000000000002</v>
      </c>
      <c r="H195" s="21">
        <f t="shared" si="34"/>
        <v>115.5</v>
      </c>
      <c r="I195" s="22">
        <f t="shared" si="35"/>
        <v>126.81</v>
      </c>
      <c r="J195" s="20">
        <f t="shared" si="36"/>
        <v>11.310000000000002</v>
      </c>
      <c r="K195" s="14">
        <f t="shared" si="37"/>
        <v>115.5</v>
      </c>
      <c r="L195" s="14">
        <f t="shared" si="38"/>
        <v>135</v>
      </c>
      <c r="M195" s="14">
        <f t="shared" si="39"/>
        <v>19.5</v>
      </c>
      <c r="N195" s="23">
        <f t="shared" si="40"/>
        <v>1.3509323835799338</v>
      </c>
      <c r="O195" s="23">
        <f t="shared" si="41"/>
        <v>1.3509323835799338</v>
      </c>
      <c r="P195" s="28">
        <f t="shared" si="42"/>
        <v>0.19867134540616296</v>
      </c>
      <c r="Q195" s="28">
        <f t="shared" si="43"/>
        <v>0.19867134540616296</v>
      </c>
      <c r="R195" s="27">
        <f t="shared" si="44"/>
        <v>121.71821486177232</v>
      </c>
    </row>
    <row r="196" spans="2:18">
      <c r="B196" s="6">
        <v>122.75</v>
      </c>
      <c r="C196" s="6">
        <v>119.06</v>
      </c>
      <c r="D196" s="7">
        <f t="shared" si="30"/>
        <v>120.905</v>
      </c>
      <c r="E196" s="18">
        <f t="shared" si="31"/>
        <v>120.44</v>
      </c>
      <c r="F196" s="18">
        <f t="shared" si="32"/>
        <v>135</v>
      </c>
      <c r="G196" s="19">
        <f t="shared" si="33"/>
        <v>14.560000000000002</v>
      </c>
      <c r="H196" s="21">
        <f t="shared" si="34"/>
        <v>115.5</v>
      </c>
      <c r="I196" s="22">
        <f t="shared" si="35"/>
        <v>126.81</v>
      </c>
      <c r="J196" s="20">
        <f t="shared" si="36"/>
        <v>11.310000000000002</v>
      </c>
      <c r="K196" s="14">
        <f t="shared" si="37"/>
        <v>115.5</v>
      </c>
      <c r="L196" s="14">
        <f t="shared" si="38"/>
        <v>135</v>
      </c>
      <c r="M196" s="14">
        <f t="shared" si="39"/>
        <v>19.5</v>
      </c>
      <c r="N196" s="23">
        <f t="shared" si="40"/>
        <v>1.4078059300477683</v>
      </c>
      <c r="O196" s="23">
        <f t="shared" si="41"/>
        <v>1.4078059300477683</v>
      </c>
      <c r="P196" s="28">
        <f t="shared" si="42"/>
        <v>0.1528931892704247</v>
      </c>
      <c r="Q196" s="28">
        <f t="shared" si="43"/>
        <v>0.1528931892704247</v>
      </c>
      <c r="R196" s="27">
        <f t="shared" si="44"/>
        <v>121.59387984799385</v>
      </c>
    </row>
    <row r="197" spans="2:18">
      <c r="B197" s="6">
        <v>119.19</v>
      </c>
      <c r="C197" s="6">
        <v>115.06</v>
      </c>
      <c r="D197" s="7">
        <f t="shared" si="30"/>
        <v>117.125</v>
      </c>
      <c r="E197" s="18">
        <f t="shared" si="31"/>
        <v>120.44</v>
      </c>
      <c r="F197" s="18">
        <f t="shared" si="32"/>
        <v>132.38</v>
      </c>
      <c r="G197" s="19">
        <f t="shared" si="33"/>
        <v>11.939999999999998</v>
      </c>
      <c r="H197" s="21">
        <f t="shared" si="34"/>
        <v>115.06</v>
      </c>
      <c r="I197" s="22">
        <f t="shared" si="35"/>
        <v>124.75</v>
      </c>
      <c r="J197" s="20">
        <f t="shared" si="36"/>
        <v>9.6899999999999977</v>
      </c>
      <c r="K197" s="14">
        <f t="shared" si="37"/>
        <v>115.06</v>
      </c>
      <c r="L197" s="14">
        <f t="shared" si="38"/>
        <v>132.38</v>
      </c>
      <c r="M197" s="14">
        <f t="shared" si="39"/>
        <v>17.319999999999993</v>
      </c>
      <c r="N197" s="23">
        <f t="shared" si="40"/>
        <v>1.3205947352352541</v>
      </c>
      <c r="O197" s="23">
        <f t="shared" si="41"/>
        <v>1.3205947352352541</v>
      </c>
      <c r="P197" s="28">
        <f t="shared" si="42"/>
        <v>0.22846018783673608</v>
      </c>
      <c r="Q197" s="28">
        <f t="shared" si="43"/>
        <v>0.22846018783673608</v>
      </c>
      <c r="R197" s="27">
        <f t="shared" si="44"/>
        <v>120.57291871850137</v>
      </c>
    </row>
    <row r="198" spans="2:18">
      <c r="B198" s="6">
        <v>115.06</v>
      </c>
      <c r="C198" s="6">
        <v>111.06</v>
      </c>
      <c r="D198" s="7">
        <f t="shared" ref="D198:D256" si="45">(B198+C198)/2</f>
        <v>113.06</v>
      </c>
      <c r="E198" s="18">
        <f t="shared" si="31"/>
        <v>120.44</v>
      </c>
      <c r="F198" s="18">
        <f t="shared" si="32"/>
        <v>131.44</v>
      </c>
      <c r="G198" s="19">
        <f t="shared" si="33"/>
        <v>11</v>
      </c>
      <c r="H198" s="21">
        <f t="shared" si="34"/>
        <v>111.06</v>
      </c>
      <c r="I198" s="22">
        <f t="shared" si="35"/>
        <v>123.25</v>
      </c>
      <c r="J198" s="20">
        <f t="shared" si="36"/>
        <v>12.189999999999998</v>
      </c>
      <c r="K198" s="14">
        <f t="shared" si="37"/>
        <v>111.06</v>
      </c>
      <c r="L198" s="14">
        <f t="shared" si="38"/>
        <v>131.44</v>
      </c>
      <c r="M198" s="14">
        <f t="shared" si="39"/>
        <v>20.379999999999995</v>
      </c>
      <c r="N198" s="23">
        <f t="shared" si="40"/>
        <v>1.1863487684801903</v>
      </c>
      <c r="O198" s="23">
        <f t="shared" si="41"/>
        <v>1.1863487684801903</v>
      </c>
      <c r="P198" s="28">
        <f t="shared" si="42"/>
        <v>0.42393811363949097</v>
      </c>
      <c r="Q198" s="28">
        <f t="shared" si="43"/>
        <v>0.42393811363949097</v>
      </c>
      <c r="R198" s="27">
        <f t="shared" si="44"/>
        <v>117.38790612905308</v>
      </c>
    </row>
    <row r="199" spans="2:18">
      <c r="B199" s="6">
        <v>116.69</v>
      </c>
      <c r="C199" s="6">
        <v>113.12</v>
      </c>
      <c r="D199" s="7">
        <f t="shared" si="45"/>
        <v>114.905</v>
      </c>
      <c r="E199" s="18">
        <f t="shared" si="31"/>
        <v>120</v>
      </c>
      <c r="F199" s="18">
        <f t="shared" si="32"/>
        <v>130.88</v>
      </c>
      <c r="G199" s="19">
        <f t="shared" si="33"/>
        <v>10.879999999999995</v>
      </c>
      <c r="H199" s="21">
        <f t="shared" si="34"/>
        <v>111.06</v>
      </c>
      <c r="I199" s="22">
        <f t="shared" si="35"/>
        <v>123.25</v>
      </c>
      <c r="J199" s="20">
        <f t="shared" si="36"/>
        <v>12.189999999999998</v>
      </c>
      <c r="K199" s="14">
        <f t="shared" si="37"/>
        <v>111.06</v>
      </c>
      <c r="L199" s="14">
        <f t="shared" si="38"/>
        <v>130.88</v>
      </c>
      <c r="M199" s="14">
        <f t="shared" si="39"/>
        <v>19.819999999999993</v>
      </c>
      <c r="N199" s="23">
        <f t="shared" si="40"/>
        <v>1.2190610414964946</v>
      </c>
      <c r="O199" s="23">
        <f t="shared" si="41"/>
        <v>1.2190610414964946</v>
      </c>
      <c r="P199" s="28">
        <f t="shared" si="42"/>
        <v>0.36465142663784078</v>
      </c>
      <c r="Q199" s="28">
        <f t="shared" si="43"/>
        <v>0.36465142663784078</v>
      </c>
      <c r="R199" s="27">
        <f t="shared" si="44"/>
        <v>116.48251086688603</v>
      </c>
    </row>
    <row r="200" spans="2:18">
      <c r="B200" s="6">
        <v>114.87</v>
      </c>
      <c r="C200" s="6">
        <v>110</v>
      </c>
      <c r="D200" s="7">
        <f t="shared" si="45"/>
        <v>112.435</v>
      </c>
      <c r="E200" s="18">
        <f t="shared" si="31"/>
        <v>119.62</v>
      </c>
      <c r="F200" s="18">
        <f t="shared" si="32"/>
        <v>129.63</v>
      </c>
      <c r="G200" s="19">
        <f t="shared" si="33"/>
        <v>10.009999999999991</v>
      </c>
      <c r="H200" s="21">
        <f t="shared" si="34"/>
        <v>110</v>
      </c>
      <c r="I200" s="22">
        <f t="shared" si="35"/>
        <v>123.25</v>
      </c>
      <c r="J200" s="20">
        <f t="shared" si="36"/>
        <v>13.25</v>
      </c>
      <c r="K200" s="14">
        <f t="shared" si="37"/>
        <v>110</v>
      </c>
      <c r="L200" s="14">
        <f t="shared" si="38"/>
        <v>129.63</v>
      </c>
      <c r="M200" s="14">
        <f t="shared" si="39"/>
        <v>19.629999999999995</v>
      </c>
      <c r="N200" s="23">
        <f t="shared" si="40"/>
        <v>1.2447909240070472</v>
      </c>
      <c r="O200" s="23">
        <f t="shared" si="41"/>
        <v>1.2447909240070472</v>
      </c>
      <c r="P200" s="28">
        <f t="shared" si="42"/>
        <v>0.32390537282233273</v>
      </c>
      <c r="Q200" s="28">
        <f t="shared" si="43"/>
        <v>0.32390537282233273</v>
      </c>
      <c r="R200" s="27">
        <f t="shared" si="44"/>
        <v>115.17150035054487</v>
      </c>
    </row>
    <row r="201" spans="2:18">
      <c r="B201" s="6">
        <v>110.87</v>
      </c>
      <c r="C201" s="6">
        <v>105</v>
      </c>
      <c r="D201" s="7">
        <f t="shared" si="45"/>
        <v>107.935</v>
      </c>
      <c r="E201" s="18">
        <f t="shared" si="31"/>
        <v>115.5</v>
      </c>
      <c r="F201" s="18">
        <f t="shared" si="32"/>
        <v>127.81</v>
      </c>
      <c r="G201" s="19">
        <f t="shared" si="33"/>
        <v>12.310000000000002</v>
      </c>
      <c r="H201" s="21">
        <f t="shared" si="34"/>
        <v>105</v>
      </c>
      <c r="I201" s="22">
        <f t="shared" si="35"/>
        <v>123.25</v>
      </c>
      <c r="J201" s="20">
        <f t="shared" si="36"/>
        <v>18.25</v>
      </c>
      <c r="K201" s="14">
        <f t="shared" si="37"/>
        <v>105</v>
      </c>
      <c r="L201" s="14">
        <f t="shared" si="38"/>
        <v>127.81</v>
      </c>
      <c r="M201" s="14">
        <f t="shared" si="39"/>
        <v>22.810000000000002</v>
      </c>
      <c r="N201" s="23">
        <f t="shared" si="40"/>
        <v>1.4219780967236113</v>
      </c>
      <c r="O201" s="23">
        <f t="shared" si="41"/>
        <v>1.4219780967236113</v>
      </c>
      <c r="P201" s="28">
        <f t="shared" si="42"/>
        <v>0.14323323689403641</v>
      </c>
      <c r="Q201" s="28">
        <f t="shared" si="43"/>
        <v>0.14323323689403641</v>
      </c>
      <c r="R201" s="27">
        <f t="shared" si="44"/>
        <v>114.13499298155151</v>
      </c>
    </row>
    <row r="202" spans="2:18">
      <c r="B202" s="6">
        <v>107.25</v>
      </c>
      <c r="C202" s="6">
        <v>104.69</v>
      </c>
      <c r="D202" s="7">
        <f t="shared" si="45"/>
        <v>105.97</v>
      </c>
      <c r="E202" s="18">
        <f t="shared" si="31"/>
        <v>115.5</v>
      </c>
      <c r="F202" s="18">
        <f t="shared" si="32"/>
        <v>127.81</v>
      </c>
      <c r="G202" s="19">
        <f t="shared" si="33"/>
        <v>12.310000000000002</v>
      </c>
      <c r="H202" s="21">
        <f t="shared" si="34"/>
        <v>104.69</v>
      </c>
      <c r="I202" s="22">
        <f t="shared" si="35"/>
        <v>123.25</v>
      </c>
      <c r="J202" s="20">
        <f t="shared" si="36"/>
        <v>18.560000000000002</v>
      </c>
      <c r="K202" s="14">
        <f t="shared" si="37"/>
        <v>104.69</v>
      </c>
      <c r="L202" s="14">
        <f t="shared" si="38"/>
        <v>127.81</v>
      </c>
      <c r="M202" s="14">
        <f t="shared" si="39"/>
        <v>23.120000000000005</v>
      </c>
      <c r="N202" s="23">
        <f t="shared" si="40"/>
        <v>1.4170640851144458</v>
      </c>
      <c r="O202" s="23">
        <f t="shared" si="41"/>
        <v>1.4170640851144458</v>
      </c>
      <c r="P202" s="28">
        <f t="shared" si="42"/>
        <v>0.14651153881044496</v>
      </c>
      <c r="Q202" s="28">
        <f t="shared" si="43"/>
        <v>0.14651153881044496</v>
      </c>
      <c r="R202" s="27">
        <f t="shared" si="44"/>
        <v>112.9387272954479</v>
      </c>
    </row>
    <row r="203" spans="2:18">
      <c r="B203" s="6">
        <v>108.87</v>
      </c>
      <c r="C203" s="6">
        <v>103.87</v>
      </c>
      <c r="D203" s="7">
        <f t="shared" si="45"/>
        <v>106.37</v>
      </c>
      <c r="E203" s="18">
        <f t="shared" si="31"/>
        <v>115.5</v>
      </c>
      <c r="F203" s="18">
        <f t="shared" si="32"/>
        <v>126.81</v>
      </c>
      <c r="G203" s="19">
        <f t="shared" si="33"/>
        <v>11.310000000000002</v>
      </c>
      <c r="H203" s="21">
        <f t="shared" si="34"/>
        <v>103.87</v>
      </c>
      <c r="I203" s="22">
        <f t="shared" si="35"/>
        <v>122.75</v>
      </c>
      <c r="J203" s="20">
        <f t="shared" si="36"/>
        <v>18.879999999999995</v>
      </c>
      <c r="K203" s="14">
        <f t="shared" si="37"/>
        <v>103.87</v>
      </c>
      <c r="L203" s="14">
        <f t="shared" si="38"/>
        <v>126.81</v>
      </c>
      <c r="M203" s="14">
        <f t="shared" si="39"/>
        <v>22.939999999999998</v>
      </c>
      <c r="N203" s="23">
        <f t="shared" si="40"/>
        <v>1.3962053654978002</v>
      </c>
      <c r="O203" s="23">
        <f t="shared" si="41"/>
        <v>1.3962053654978002</v>
      </c>
      <c r="P203" s="28">
        <f t="shared" si="42"/>
        <v>0.16128325101503638</v>
      </c>
      <c r="Q203" s="28">
        <f t="shared" si="43"/>
        <v>0.16128325101503638</v>
      </c>
      <c r="R203" s="27">
        <f t="shared" si="44"/>
        <v>111.87930160220687</v>
      </c>
    </row>
    <row r="204" spans="2:18">
      <c r="B204" s="6">
        <v>109</v>
      </c>
      <c r="C204" s="6">
        <v>104.69</v>
      </c>
      <c r="D204" s="7">
        <f t="shared" si="45"/>
        <v>106.845</v>
      </c>
      <c r="E204" s="18">
        <f t="shared" si="31"/>
        <v>115.5</v>
      </c>
      <c r="F204" s="18">
        <f t="shared" si="32"/>
        <v>126.81</v>
      </c>
      <c r="G204" s="19">
        <f t="shared" si="33"/>
        <v>11.310000000000002</v>
      </c>
      <c r="H204" s="21">
        <f t="shared" si="34"/>
        <v>103.87</v>
      </c>
      <c r="I204" s="22">
        <f t="shared" si="35"/>
        <v>119.19</v>
      </c>
      <c r="J204" s="20">
        <f t="shared" si="36"/>
        <v>15.319999999999993</v>
      </c>
      <c r="K204" s="14">
        <f t="shared" si="37"/>
        <v>103.87</v>
      </c>
      <c r="L204" s="14">
        <f t="shared" si="38"/>
        <v>126.81</v>
      </c>
      <c r="M204" s="14">
        <f t="shared" si="39"/>
        <v>22.939999999999998</v>
      </c>
      <c r="N204" s="23">
        <f t="shared" si="40"/>
        <v>1.215187037194789</v>
      </c>
      <c r="O204" s="23">
        <f t="shared" si="41"/>
        <v>1.215187037194789</v>
      </c>
      <c r="P204" s="28">
        <f t="shared" si="42"/>
        <v>0.37121534942603968</v>
      </c>
      <c r="Q204" s="28">
        <f t="shared" si="43"/>
        <v>0.37121534942603968</v>
      </c>
      <c r="R204" s="27">
        <f t="shared" si="44"/>
        <v>110.01049157382758</v>
      </c>
    </row>
    <row r="205" spans="2:18">
      <c r="B205" s="6">
        <v>108.5</v>
      </c>
      <c r="C205" s="6">
        <v>105.44</v>
      </c>
      <c r="D205" s="7">
        <f t="shared" si="45"/>
        <v>106.97</v>
      </c>
      <c r="E205" s="18">
        <f t="shared" si="31"/>
        <v>115.06</v>
      </c>
      <c r="F205" s="18">
        <f t="shared" si="32"/>
        <v>124.75</v>
      </c>
      <c r="G205" s="19">
        <f t="shared" si="33"/>
        <v>9.6899999999999977</v>
      </c>
      <c r="H205" s="21">
        <f t="shared" si="34"/>
        <v>103.87</v>
      </c>
      <c r="I205" s="22">
        <f t="shared" si="35"/>
        <v>116.69</v>
      </c>
      <c r="J205" s="20">
        <f t="shared" si="36"/>
        <v>12.819999999999993</v>
      </c>
      <c r="K205" s="14">
        <f t="shared" si="37"/>
        <v>103.87</v>
      </c>
      <c r="L205" s="14">
        <f t="shared" si="38"/>
        <v>124.75</v>
      </c>
      <c r="M205" s="14">
        <f t="shared" si="39"/>
        <v>20.879999999999995</v>
      </c>
      <c r="N205" s="23">
        <f t="shared" si="40"/>
        <v>1.1084443448842711</v>
      </c>
      <c r="O205" s="23">
        <f t="shared" si="41"/>
        <v>1.1084443448842711</v>
      </c>
      <c r="P205" s="28">
        <f t="shared" si="42"/>
        <v>0.60689185681625291</v>
      </c>
      <c r="Q205" s="28">
        <f t="shared" si="43"/>
        <v>0.60689185681625291</v>
      </c>
      <c r="R205" s="27">
        <f t="shared" si="44"/>
        <v>108.16524199695318</v>
      </c>
    </row>
    <row r="206" spans="2:18">
      <c r="B206" s="6">
        <v>113.06</v>
      </c>
      <c r="C206" s="6">
        <v>107</v>
      </c>
      <c r="D206" s="7">
        <f t="shared" si="45"/>
        <v>110.03</v>
      </c>
      <c r="E206" s="18">
        <f t="shared" si="31"/>
        <v>111.06</v>
      </c>
      <c r="F206" s="18">
        <f t="shared" si="32"/>
        <v>123.25</v>
      </c>
      <c r="G206" s="19">
        <f t="shared" si="33"/>
        <v>12.189999999999998</v>
      </c>
      <c r="H206" s="21">
        <f t="shared" si="34"/>
        <v>103.87</v>
      </c>
      <c r="I206" s="22">
        <f t="shared" si="35"/>
        <v>116.69</v>
      </c>
      <c r="J206" s="20">
        <f t="shared" si="36"/>
        <v>12.819999999999993</v>
      </c>
      <c r="K206" s="14">
        <f t="shared" si="37"/>
        <v>103.87</v>
      </c>
      <c r="L206" s="14">
        <f t="shared" si="38"/>
        <v>123.25</v>
      </c>
      <c r="M206" s="14">
        <f t="shared" si="39"/>
        <v>19.379999999999995</v>
      </c>
      <c r="N206" s="23">
        <f t="shared" si="40"/>
        <v>1.3679364867658887</v>
      </c>
      <c r="O206" s="23">
        <f t="shared" si="41"/>
        <v>1.3679364867658887</v>
      </c>
      <c r="P206" s="28">
        <f t="shared" si="42"/>
        <v>0.18370755896404811</v>
      </c>
      <c r="Q206" s="28">
        <f t="shared" si="43"/>
        <v>0.18370755896404811</v>
      </c>
      <c r="R206" s="27">
        <f t="shared" si="44"/>
        <v>108.50781213775159</v>
      </c>
    </row>
    <row r="207" spans="2:18">
      <c r="B207" s="6">
        <v>93</v>
      </c>
      <c r="C207" s="6">
        <v>89</v>
      </c>
      <c r="D207" s="7">
        <f t="shared" si="45"/>
        <v>91</v>
      </c>
      <c r="E207" s="18">
        <f t="shared" si="31"/>
        <v>111.06</v>
      </c>
      <c r="F207" s="18">
        <f t="shared" si="32"/>
        <v>123.25</v>
      </c>
      <c r="G207" s="19">
        <f t="shared" si="33"/>
        <v>12.189999999999998</v>
      </c>
      <c r="H207" s="21">
        <f t="shared" si="34"/>
        <v>89</v>
      </c>
      <c r="I207" s="22">
        <f t="shared" si="35"/>
        <v>114.87</v>
      </c>
      <c r="J207" s="20">
        <f t="shared" si="36"/>
        <v>25.870000000000005</v>
      </c>
      <c r="K207" s="14">
        <f t="shared" si="37"/>
        <v>89</v>
      </c>
      <c r="L207" s="14">
        <f t="shared" si="38"/>
        <v>123.25</v>
      </c>
      <c r="M207" s="14">
        <f t="shared" si="39"/>
        <v>34.25</v>
      </c>
      <c r="N207" s="23">
        <f t="shared" si="40"/>
        <v>1.1521715735387708</v>
      </c>
      <c r="O207" s="23">
        <f t="shared" si="41"/>
        <v>1.1521715735387708</v>
      </c>
      <c r="P207" s="28">
        <f t="shared" si="42"/>
        <v>0.49620010624079547</v>
      </c>
      <c r="Q207" s="28">
        <f t="shared" si="43"/>
        <v>0.49620010624079547</v>
      </c>
      <c r="R207" s="27">
        <f t="shared" si="44"/>
        <v>99.820433894955357</v>
      </c>
    </row>
    <row r="208" spans="2:18">
      <c r="B208" s="6">
        <v>94.62</v>
      </c>
      <c r="C208" s="6">
        <v>92.5</v>
      </c>
      <c r="D208" s="7">
        <f t="shared" si="45"/>
        <v>93.56</v>
      </c>
      <c r="E208" s="18">
        <f t="shared" si="31"/>
        <v>110</v>
      </c>
      <c r="F208" s="18">
        <f t="shared" si="32"/>
        <v>123.25</v>
      </c>
      <c r="G208" s="19">
        <f t="shared" si="33"/>
        <v>13.25</v>
      </c>
      <c r="H208" s="21">
        <f t="shared" si="34"/>
        <v>89</v>
      </c>
      <c r="I208" s="22">
        <f t="shared" si="35"/>
        <v>113.06</v>
      </c>
      <c r="J208" s="20">
        <f t="shared" si="36"/>
        <v>24.060000000000002</v>
      </c>
      <c r="K208" s="14">
        <f t="shared" si="37"/>
        <v>89</v>
      </c>
      <c r="L208" s="14">
        <f t="shared" si="38"/>
        <v>123.25</v>
      </c>
      <c r="M208" s="14">
        <f t="shared" si="39"/>
        <v>34.25</v>
      </c>
      <c r="N208" s="23">
        <f t="shared" si="40"/>
        <v>1.1234583720815288</v>
      </c>
      <c r="O208" s="23">
        <f t="shared" si="41"/>
        <v>1.1234583720815288</v>
      </c>
      <c r="P208" s="28">
        <f t="shared" si="42"/>
        <v>0.56634784958159023</v>
      </c>
      <c r="Q208" s="28">
        <f t="shared" si="43"/>
        <v>0.56634784958159023</v>
      </c>
      <c r="R208" s="27">
        <f t="shared" si="44"/>
        <v>96.274850621099688</v>
      </c>
    </row>
    <row r="209" spans="2:18">
      <c r="B209" s="6">
        <v>95.12</v>
      </c>
      <c r="C209" s="6">
        <v>92.12</v>
      </c>
      <c r="D209" s="7">
        <f t="shared" si="45"/>
        <v>93.62</v>
      </c>
      <c r="E209" s="18">
        <f t="shared" si="31"/>
        <v>105</v>
      </c>
      <c r="F209" s="18">
        <f t="shared" si="32"/>
        <v>123.25</v>
      </c>
      <c r="G209" s="19">
        <f t="shared" si="33"/>
        <v>18.25</v>
      </c>
      <c r="H209" s="21">
        <f t="shared" si="34"/>
        <v>89</v>
      </c>
      <c r="I209" s="22">
        <f t="shared" si="35"/>
        <v>113.06</v>
      </c>
      <c r="J209" s="20">
        <f t="shared" si="36"/>
        <v>24.060000000000002</v>
      </c>
      <c r="K209" s="14">
        <f t="shared" si="37"/>
        <v>89</v>
      </c>
      <c r="L209" s="14">
        <f t="shared" si="38"/>
        <v>123.25</v>
      </c>
      <c r="M209" s="14">
        <f t="shared" si="39"/>
        <v>34.25</v>
      </c>
      <c r="N209" s="23">
        <f t="shared" si="40"/>
        <v>1.3048946976210991</v>
      </c>
      <c r="O209" s="23">
        <f t="shared" si="41"/>
        <v>1.3048946976210991</v>
      </c>
      <c r="P209" s="28">
        <f t="shared" si="42"/>
        <v>0.24558995795497879</v>
      </c>
      <c r="Q209" s="28">
        <f t="shared" si="43"/>
        <v>0.24558995795497879</v>
      </c>
      <c r="R209" s="27">
        <f t="shared" si="44"/>
        <v>95.622845968687074</v>
      </c>
    </row>
    <row r="210" spans="2:18">
      <c r="B210" s="6">
        <v>96</v>
      </c>
      <c r="C210" s="6">
        <v>94.62</v>
      </c>
      <c r="D210" s="7">
        <f t="shared" si="45"/>
        <v>95.31</v>
      </c>
      <c r="E210" s="18">
        <f t="shared" si="31"/>
        <v>104.69</v>
      </c>
      <c r="F210" s="18">
        <f t="shared" si="32"/>
        <v>123.25</v>
      </c>
      <c r="G210" s="19">
        <f t="shared" si="33"/>
        <v>18.560000000000002</v>
      </c>
      <c r="H210" s="21">
        <f t="shared" si="34"/>
        <v>89</v>
      </c>
      <c r="I210" s="22">
        <f t="shared" si="35"/>
        <v>113.06</v>
      </c>
      <c r="J210" s="20">
        <f t="shared" si="36"/>
        <v>24.060000000000002</v>
      </c>
      <c r="K210" s="14">
        <f t="shared" si="37"/>
        <v>89</v>
      </c>
      <c r="L210" s="14">
        <f t="shared" si="38"/>
        <v>123.25</v>
      </c>
      <c r="M210" s="14">
        <f t="shared" si="39"/>
        <v>34.25</v>
      </c>
      <c r="N210" s="23">
        <f t="shared" si="40"/>
        <v>1.3154266050474521</v>
      </c>
      <c r="O210" s="23">
        <f t="shared" si="41"/>
        <v>1.3154266050474521</v>
      </c>
      <c r="P210" s="28">
        <f t="shared" si="42"/>
        <v>0.23396278904801571</v>
      </c>
      <c r="Q210" s="28">
        <f t="shared" si="43"/>
        <v>0.23396278904801571</v>
      </c>
      <c r="R210" s="27">
        <f t="shared" si="44"/>
        <v>95.549651653310619</v>
      </c>
    </row>
    <row r="211" spans="2:18">
      <c r="B211" s="6">
        <v>95.56</v>
      </c>
      <c r="C211" s="6">
        <v>92.81</v>
      </c>
      <c r="D211" s="7">
        <f t="shared" si="45"/>
        <v>94.185000000000002</v>
      </c>
      <c r="E211" s="18">
        <f t="shared" si="31"/>
        <v>103.87</v>
      </c>
      <c r="F211" s="18">
        <f t="shared" si="32"/>
        <v>122.75</v>
      </c>
      <c r="G211" s="19">
        <f t="shared" si="33"/>
        <v>18.879999999999995</v>
      </c>
      <c r="H211" s="21">
        <f t="shared" si="34"/>
        <v>89</v>
      </c>
      <c r="I211" s="22">
        <f t="shared" si="35"/>
        <v>113.06</v>
      </c>
      <c r="J211" s="20">
        <f t="shared" si="36"/>
        <v>24.060000000000002</v>
      </c>
      <c r="K211" s="14">
        <f t="shared" si="37"/>
        <v>89</v>
      </c>
      <c r="L211" s="14">
        <f t="shared" si="38"/>
        <v>122.75</v>
      </c>
      <c r="M211" s="14">
        <f t="shared" si="39"/>
        <v>33.75</v>
      </c>
      <c r="N211" s="23">
        <f t="shared" si="40"/>
        <v>1.3474346890332176</v>
      </c>
      <c r="O211" s="23">
        <f t="shared" si="41"/>
        <v>1.3474346890332176</v>
      </c>
      <c r="P211" s="28">
        <f t="shared" si="42"/>
        <v>0.20189735152336086</v>
      </c>
      <c r="Q211" s="28">
        <f t="shared" si="43"/>
        <v>0.20189735152336086</v>
      </c>
      <c r="R211" s="27">
        <f t="shared" si="44"/>
        <v>95.274132098755231</v>
      </c>
    </row>
    <row r="212" spans="2:18">
      <c r="B212" s="6">
        <v>95.31</v>
      </c>
      <c r="C212" s="6">
        <v>94.25</v>
      </c>
      <c r="D212" s="7">
        <f t="shared" si="45"/>
        <v>94.78</v>
      </c>
      <c r="E212" s="18">
        <f t="shared" si="31"/>
        <v>103.87</v>
      </c>
      <c r="F212" s="18">
        <f t="shared" si="32"/>
        <v>119.19</v>
      </c>
      <c r="G212" s="19">
        <f t="shared" si="33"/>
        <v>15.319999999999993</v>
      </c>
      <c r="H212" s="21">
        <f t="shared" si="34"/>
        <v>89</v>
      </c>
      <c r="I212" s="22">
        <f t="shared" si="35"/>
        <v>113.06</v>
      </c>
      <c r="J212" s="20">
        <f t="shared" si="36"/>
        <v>24.060000000000002</v>
      </c>
      <c r="K212" s="14">
        <f t="shared" si="37"/>
        <v>89</v>
      </c>
      <c r="L212" s="14">
        <f t="shared" si="38"/>
        <v>119.19</v>
      </c>
      <c r="M212" s="14">
        <f t="shared" si="39"/>
        <v>30.189999999999998</v>
      </c>
      <c r="N212" s="23">
        <f t="shared" si="40"/>
        <v>1.3833923543879285</v>
      </c>
      <c r="O212" s="23">
        <f t="shared" si="41"/>
        <v>1.3833923543879285</v>
      </c>
      <c r="P212" s="28">
        <f t="shared" si="42"/>
        <v>0.17108632249119965</v>
      </c>
      <c r="Q212" s="28">
        <f t="shared" si="43"/>
        <v>0.17108632249119965</v>
      </c>
      <c r="R212" s="27">
        <f t="shared" si="44"/>
        <v>95.189592855154345</v>
      </c>
    </row>
    <row r="213" spans="2:18">
      <c r="B213" s="6">
        <v>99</v>
      </c>
      <c r="C213" s="6">
        <v>96.25</v>
      </c>
      <c r="D213" s="7">
        <f t="shared" si="45"/>
        <v>97.625</v>
      </c>
      <c r="E213" s="18">
        <f t="shared" ref="E213:E256" si="46">MIN(C198:C205)</f>
        <v>103.87</v>
      </c>
      <c r="F213" s="18">
        <f t="shared" ref="F213:F256" si="47">MAX(B198:B205)</f>
        <v>116.69</v>
      </c>
      <c r="G213" s="19">
        <f t="shared" ref="G213:G256" si="48">F213-E213</f>
        <v>12.819999999999993</v>
      </c>
      <c r="H213" s="21">
        <f t="shared" ref="H213:H256" si="49">MIN(C206:C213)</f>
        <v>89</v>
      </c>
      <c r="I213" s="22">
        <f t="shared" ref="I213:I256" si="50">MAX(B206:B213)</f>
        <v>113.06</v>
      </c>
      <c r="J213" s="20">
        <f t="shared" ref="J213:J256" si="51">I213-H213</f>
        <v>24.060000000000002</v>
      </c>
      <c r="K213" s="14">
        <f t="shared" ref="K213:K256" si="52">MIN(C198:C213)</f>
        <v>89</v>
      </c>
      <c r="L213" s="14">
        <f t="shared" ref="L213:L256" si="53">MAX(B198:B213)</f>
        <v>116.69</v>
      </c>
      <c r="M213" s="14">
        <f t="shared" ref="M213:M256" si="54">L213-K213</f>
        <v>27.689999999999998</v>
      </c>
      <c r="N213" s="23">
        <f t="shared" ref="N213:N256" si="55">(LN((G213+J213)/8)-LN(M213/16))/LN(2)</f>
        <v>1.4134736020624075</v>
      </c>
      <c r="O213" s="23">
        <f t="shared" ref="O213:O256" si="56">MIN(MAX(N213,1),2)</f>
        <v>1.4134736020624075</v>
      </c>
      <c r="P213" s="28">
        <f t="shared" ref="P213:P256" si="57">EXP($N$2*(O213-1))</f>
        <v>0.14895421458675928</v>
      </c>
      <c r="Q213" s="28">
        <f t="shared" ref="Q213:Q256" si="58">MIN(MAX(P213,$M$2),1)</f>
        <v>0.14895421458675928</v>
      </c>
      <c r="R213" s="27">
        <f t="shared" ref="R213:R256" si="59">R212+(D213-R212)*Q213</f>
        <v>95.552357013613815</v>
      </c>
    </row>
    <row r="214" spans="2:18">
      <c r="B214" s="6">
        <v>98.81</v>
      </c>
      <c r="C214" s="6">
        <v>96.37</v>
      </c>
      <c r="D214" s="7">
        <f t="shared" si="45"/>
        <v>97.59</v>
      </c>
      <c r="E214" s="18">
        <f t="shared" si="46"/>
        <v>103.87</v>
      </c>
      <c r="F214" s="18">
        <f t="shared" si="47"/>
        <v>116.69</v>
      </c>
      <c r="G214" s="19">
        <f t="shared" si="48"/>
        <v>12.819999999999993</v>
      </c>
      <c r="H214" s="21">
        <f t="shared" si="49"/>
        <v>89</v>
      </c>
      <c r="I214" s="22">
        <f t="shared" si="50"/>
        <v>99</v>
      </c>
      <c r="J214" s="20">
        <f t="shared" si="51"/>
        <v>10</v>
      </c>
      <c r="K214" s="14">
        <f t="shared" si="52"/>
        <v>89</v>
      </c>
      <c r="L214" s="14">
        <f t="shared" si="53"/>
        <v>116.69</v>
      </c>
      <c r="M214" s="14">
        <f t="shared" si="54"/>
        <v>27.689999999999998</v>
      </c>
      <c r="N214" s="23">
        <f t="shared" si="55"/>
        <v>0.72093373792175108</v>
      </c>
      <c r="O214" s="23">
        <f t="shared" si="56"/>
        <v>1</v>
      </c>
      <c r="P214" s="28">
        <f t="shared" si="57"/>
        <v>1</v>
      </c>
      <c r="Q214" s="28">
        <f t="shared" si="58"/>
        <v>1</v>
      </c>
      <c r="R214" s="27">
        <f t="shared" si="59"/>
        <v>97.59</v>
      </c>
    </row>
    <row r="215" spans="2:18">
      <c r="B215" s="6">
        <v>96.81</v>
      </c>
      <c r="C215" s="6">
        <v>93.69</v>
      </c>
      <c r="D215" s="7">
        <f t="shared" si="45"/>
        <v>95.25</v>
      </c>
      <c r="E215" s="18">
        <f t="shared" si="46"/>
        <v>89</v>
      </c>
      <c r="F215" s="18">
        <f t="shared" si="47"/>
        <v>114.87</v>
      </c>
      <c r="G215" s="19">
        <f t="shared" si="48"/>
        <v>25.870000000000005</v>
      </c>
      <c r="H215" s="21">
        <f t="shared" si="49"/>
        <v>92.12</v>
      </c>
      <c r="I215" s="22">
        <f t="shared" si="50"/>
        <v>99</v>
      </c>
      <c r="J215" s="20">
        <f t="shared" si="51"/>
        <v>6.8799999999999955</v>
      </c>
      <c r="K215" s="14">
        <f t="shared" si="52"/>
        <v>89</v>
      </c>
      <c r="L215" s="14">
        <f t="shared" si="53"/>
        <v>114.87</v>
      </c>
      <c r="M215" s="14">
        <f t="shared" si="54"/>
        <v>25.870000000000005</v>
      </c>
      <c r="N215" s="23">
        <f t="shared" si="55"/>
        <v>1.3402148526274338</v>
      </c>
      <c r="O215" s="23">
        <f t="shared" si="56"/>
        <v>1.3402148526274338</v>
      </c>
      <c r="P215" s="28">
        <f t="shared" si="57"/>
        <v>0.20872299348443127</v>
      </c>
      <c r="Q215" s="28">
        <f t="shared" si="58"/>
        <v>0.20872299348443127</v>
      </c>
      <c r="R215" s="27">
        <f t="shared" si="59"/>
        <v>97.101588195246435</v>
      </c>
    </row>
    <row r="216" spans="2:18">
      <c r="B216" s="6">
        <v>95.94</v>
      </c>
      <c r="C216" s="6">
        <v>93.5</v>
      </c>
      <c r="D216" s="7">
        <f t="shared" si="45"/>
        <v>94.72</v>
      </c>
      <c r="E216" s="18">
        <f t="shared" si="46"/>
        <v>89</v>
      </c>
      <c r="F216" s="18">
        <f t="shared" si="47"/>
        <v>113.06</v>
      </c>
      <c r="G216" s="19">
        <f t="shared" si="48"/>
        <v>24.060000000000002</v>
      </c>
      <c r="H216" s="21">
        <f t="shared" si="49"/>
        <v>92.12</v>
      </c>
      <c r="I216" s="22">
        <f t="shared" si="50"/>
        <v>99</v>
      </c>
      <c r="J216" s="20">
        <f t="shared" si="51"/>
        <v>6.8799999999999955</v>
      </c>
      <c r="K216" s="14">
        <f t="shared" si="52"/>
        <v>89</v>
      </c>
      <c r="L216" s="14">
        <f t="shared" si="53"/>
        <v>113.06</v>
      </c>
      <c r="M216" s="14">
        <f t="shared" si="54"/>
        <v>24.060000000000002</v>
      </c>
      <c r="N216" s="23">
        <f t="shared" si="55"/>
        <v>1.3628365542729588</v>
      </c>
      <c r="O216" s="23">
        <f t="shared" si="56"/>
        <v>1.3628365542729588</v>
      </c>
      <c r="P216" s="28">
        <f t="shared" si="57"/>
        <v>0.1880731902403511</v>
      </c>
      <c r="Q216" s="28">
        <f t="shared" si="58"/>
        <v>0.1880731902403511</v>
      </c>
      <c r="R216" s="27">
        <f t="shared" si="59"/>
        <v>96.653675305527685</v>
      </c>
    </row>
    <row r="217" spans="2:18">
      <c r="B217" s="6">
        <v>94.44</v>
      </c>
      <c r="C217" s="6">
        <v>90</v>
      </c>
      <c r="D217" s="7">
        <f t="shared" si="45"/>
        <v>92.22</v>
      </c>
      <c r="E217" s="18">
        <f t="shared" si="46"/>
        <v>89</v>
      </c>
      <c r="F217" s="18">
        <f t="shared" si="47"/>
        <v>113.06</v>
      </c>
      <c r="G217" s="19">
        <f t="shared" si="48"/>
        <v>24.060000000000002</v>
      </c>
      <c r="H217" s="21">
        <f t="shared" si="49"/>
        <v>90</v>
      </c>
      <c r="I217" s="22">
        <f t="shared" si="50"/>
        <v>99</v>
      </c>
      <c r="J217" s="20">
        <f t="shared" si="51"/>
        <v>9</v>
      </c>
      <c r="K217" s="14">
        <f t="shared" si="52"/>
        <v>89</v>
      </c>
      <c r="L217" s="14">
        <f t="shared" si="53"/>
        <v>113.06</v>
      </c>
      <c r="M217" s="14">
        <f t="shared" si="54"/>
        <v>24.060000000000002</v>
      </c>
      <c r="N217" s="23">
        <f t="shared" si="55"/>
        <v>1.4584500821162372</v>
      </c>
      <c r="O217" s="23">
        <f t="shared" si="56"/>
        <v>1.4584500821162372</v>
      </c>
      <c r="P217" s="28">
        <f t="shared" si="57"/>
        <v>0.1210876458262661</v>
      </c>
      <c r="Q217" s="28">
        <f t="shared" si="58"/>
        <v>0.1210876458262661</v>
      </c>
      <c r="R217" s="27">
        <f t="shared" si="59"/>
        <v>96.11681200042328</v>
      </c>
    </row>
    <row r="218" spans="2:18">
      <c r="B218" s="6">
        <v>92.94</v>
      </c>
      <c r="C218" s="6">
        <v>90.19</v>
      </c>
      <c r="D218" s="7">
        <f t="shared" si="45"/>
        <v>91.564999999999998</v>
      </c>
      <c r="E218" s="18">
        <f t="shared" si="46"/>
        <v>89</v>
      </c>
      <c r="F218" s="18">
        <f t="shared" si="47"/>
        <v>113.06</v>
      </c>
      <c r="G218" s="19">
        <f t="shared" si="48"/>
        <v>24.060000000000002</v>
      </c>
      <c r="H218" s="21">
        <f t="shared" si="49"/>
        <v>90</v>
      </c>
      <c r="I218" s="22">
        <f t="shared" si="50"/>
        <v>99</v>
      </c>
      <c r="J218" s="20">
        <f t="shared" si="51"/>
        <v>9</v>
      </c>
      <c r="K218" s="14">
        <f t="shared" si="52"/>
        <v>89</v>
      </c>
      <c r="L218" s="14">
        <f t="shared" si="53"/>
        <v>113.06</v>
      </c>
      <c r="M218" s="14">
        <f t="shared" si="54"/>
        <v>24.060000000000002</v>
      </c>
      <c r="N218" s="23">
        <f t="shared" si="55"/>
        <v>1.4584500821162372</v>
      </c>
      <c r="O218" s="23">
        <f t="shared" si="56"/>
        <v>1.4584500821162372</v>
      </c>
      <c r="P218" s="28">
        <f t="shared" si="57"/>
        <v>0.1210876458262661</v>
      </c>
      <c r="Q218" s="28">
        <f t="shared" si="58"/>
        <v>0.1210876458262661</v>
      </c>
      <c r="R218" s="27">
        <f t="shared" si="59"/>
        <v>95.565643801048282</v>
      </c>
    </row>
    <row r="219" spans="2:18">
      <c r="B219" s="6">
        <v>93.94</v>
      </c>
      <c r="C219" s="6">
        <v>90.5</v>
      </c>
      <c r="D219" s="7">
        <f t="shared" si="45"/>
        <v>92.22</v>
      </c>
      <c r="E219" s="18">
        <f t="shared" si="46"/>
        <v>89</v>
      </c>
      <c r="F219" s="18">
        <f t="shared" si="47"/>
        <v>113.06</v>
      </c>
      <c r="G219" s="19">
        <f t="shared" si="48"/>
        <v>24.060000000000002</v>
      </c>
      <c r="H219" s="21">
        <f t="shared" si="49"/>
        <v>90</v>
      </c>
      <c r="I219" s="22">
        <f t="shared" si="50"/>
        <v>99</v>
      </c>
      <c r="J219" s="20">
        <f t="shared" si="51"/>
        <v>9</v>
      </c>
      <c r="K219" s="14">
        <f t="shared" si="52"/>
        <v>89</v>
      </c>
      <c r="L219" s="14">
        <f t="shared" si="53"/>
        <v>113.06</v>
      </c>
      <c r="M219" s="14">
        <f t="shared" si="54"/>
        <v>24.060000000000002</v>
      </c>
      <c r="N219" s="23">
        <f t="shared" si="55"/>
        <v>1.4584500821162372</v>
      </c>
      <c r="O219" s="23">
        <f t="shared" si="56"/>
        <v>1.4584500821162372</v>
      </c>
      <c r="P219" s="28">
        <f t="shared" si="57"/>
        <v>0.1210876458262661</v>
      </c>
      <c r="Q219" s="28">
        <f t="shared" si="58"/>
        <v>0.1210876458262661</v>
      </c>
      <c r="R219" s="27">
        <f t="shared" si="59"/>
        <v>95.160527669406108</v>
      </c>
    </row>
    <row r="220" spans="2:18">
      <c r="B220" s="6">
        <v>95.5</v>
      </c>
      <c r="C220" s="6">
        <v>92.12</v>
      </c>
      <c r="D220" s="7">
        <f t="shared" si="45"/>
        <v>93.81</v>
      </c>
      <c r="E220" s="18">
        <f t="shared" si="46"/>
        <v>89</v>
      </c>
      <c r="F220" s="18">
        <f t="shared" si="47"/>
        <v>113.06</v>
      </c>
      <c r="G220" s="19">
        <f t="shared" si="48"/>
        <v>24.060000000000002</v>
      </c>
      <c r="H220" s="21">
        <f t="shared" si="49"/>
        <v>90</v>
      </c>
      <c r="I220" s="22">
        <f t="shared" si="50"/>
        <v>99</v>
      </c>
      <c r="J220" s="20">
        <f t="shared" si="51"/>
        <v>9</v>
      </c>
      <c r="K220" s="14">
        <f t="shared" si="52"/>
        <v>89</v>
      </c>
      <c r="L220" s="14">
        <f t="shared" si="53"/>
        <v>113.06</v>
      </c>
      <c r="M220" s="14">
        <f t="shared" si="54"/>
        <v>24.060000000000002</v>
      </c>
      <c r="N220" s="23">
        <f t="shared" si="55"/>
        <v>1.4584500821162372</v>
      </c>
      <c r="O220" s="23">
        <f t="shared" si="56"/>
        <v>1.4584500821162372</v>
      </c>
      <c r="P220" s="28">
        <f t="shared" si="57"/>
        <v>0.1210876458262661</v>
      </c>
      <c r="Q220" s="28">
        <f t="shared" si="58"/>
        <v>0.1210876458262661</v>
      </c>
      <c r="R220" s="27">
        <f t="shared" si="59"/>
        <v>94.996995453294488</v>
      </c>
    </row>
    <row r="221" spans="2:18">
      <c r="B221" s="6">
        <v>97.06</v>
      </c>
      <c r="C221" s="6">
        <v>94.12</v>
      </c>
      <c r="D221" s="7">
        <f t="shared" si="45"/>
        <v>95.59</v>
      </c>
      <c r="E221" s="18">
        <f t="shared" si="46"/>
        <v>89</v>
      </c>
      <c r="F221" s="18">
        <f t="shared" si="47"/>
        <v>113.06</v>
      </c>
      <c r="G221" s="19">
        <f t="shared" si="48"/>
        <v>24.060000000000002</v>
      </c>
      <c r="H221" s="21">
        <f t="shared" si="49"/>
        <v>90</v>
      </c>
      <c r="I221" s="22">
        <f t="shared" si="50"/>
        <v>98.81</v>
      </c>
      <c r="J221" s="20">
        <f t="shared" si="51"/>
        <v>8.8100000000000023</v>
      </c>
      <c r="K221" s="14">
        <f t="shared" si="52"/>
        <v>89</v>
      </c>
      <c r="L221" s="14">
        <f t="shared" si="53"/>
        <v>113.06</v>
      </c>
      <c r="M221" s="14">
        <f t="shared" si="54"/>
        <v>24.060000000000002</v>
      </c>
      <c r="N221" s="23">
        <f t="shared" si="55"/>
        <v>1.4501348139042338</v>
      </c>
      <c r="O221" s="23">
        <f t="shared" si="56"/>
        <v>1.4501348139042338</v>
      </c>
      <c r="P221" s="28">
        <f t="shared" si="57"/>
        <v>0.12581440618894013</v>
      </c>
      <c r="Q221" s="28">
        <f t="shared" si="58"/>
        <v>0.12581440618894013</v>
      </c>
      <c r="R221" s="27">
        <f t="shared" si="59"/>
        <v>95.071603968205579</v>
      </c>
    </row>
    <row r="222" spans="2:18">
      <c r="B222" s="6">
        <v>97.5</v>
      </c>
      <c r="C222" s="6">
        <v>94.87</v>
      </c>
      <c r="D222" s="7">
        <f t="shared" si="45"/>
        <v>96.185000000000002</v>
      </c>
      <c r="E222" s="18">
        <f t="shared" si="46"/>
        <v>89</v>
      </c>
      <c r="F222" s="18">
        <f t="shared" si="47"/>
        <v>99</v>
      </c>
      <c r="G222" s="19">
        <f t="shared" si="48"/>
        <v>10</v>
      </c>
      <c r="H222" s="21">
        <f t="shared" si="49"/>
        <v>90</v>
      </c>
      <c r="I222" s="22">
        <f t="shared" si="50"/>
        <v>97.5</v>
      </c>
      <c r="J222" s="20">
        <f t="shared" si="51"/>
        <v>7.5</v>
      </c>
      <c r="K222" s="14">
        <f t="shared" si="52"/>
        <v>89</v>
      </c>
      <c r="L222" s="14">
        <f t="shared" si="53"/>
        <v>99</v>
      </c>
      <c r="M222" s="14">
        <f t="shared" si="54"/>
        <v>10</v>
      </c>
      <c r="N222" s="23">
        <f t="shared" si="55"/>
        <v>1.8073549220576042</v>
      </c>
      <c r="O222" s="23">
        <f t="shared" si="56"/>
        <v>1.8073549220576042</v>
      </c>
      <c r="P222" s="28">
        <f t="shared" si="57"/>
        <v>2.4282318758946434E-2</v>
      </c>
      <c r="Q222" s="28">
        <f t="shared" si="58"/>
        <v>2.4282318758946434E-2</v>
      </c>
      <c r="R222" s="27">
        <f t="shared" si="59"/>
        <v>95.098639805554555</v>
      </c>
    </row>
    <row r="223" spans="2:18">
      <c r="B223" s="6">
        <v>96.25</v>
      </c>
      <c r="C223" s="6">
        <v>93</v>
      </c>
      <c r="D223" s="7">
        <f t="shared" si="45"/>
        <v>94.625</v>
      </c>
      <c r="E223" s="18">
        <f t="shared" si="46"/>
        <v>92.12</v>
      </c>
      <c r="F223" s="18">
        <f t="shared" si="47"/>
        <v>99</v>
      </c>
      <c r="G223" s="19">
        <f t="shared" si="48"/>
        <v>6.8799999999999955</v>
      </c>
      <c r="H223" s="21">
        <f t="shared" si="49"/>
        <v>90</v>
      </c>
      <c r="I223" s="22">
        <f t="shared" si="50"/>
        <v>97.5</v>
      </c>
      <c r="J223" s="20">
        <f t="shared" si="51"/>
        <v>7.5</v>
      </c>
      <c r="K223" s="14">
        <f t="shared" si="52"/>
        <v>90</v>
      </c>
      <c r="L223" s="14">
        <f t="shared" si="53"/>
        <v>99</v>
      </c>
      <c r="M223" s="14">
        <f t="shared" si="54"/>
        <v>9</v>
      </c>
      <c r="N223" s="23">
        <f t="shared" si="55"/>
        <v>1.6760667692222602</v>
      </c>
      <c r="O223" s="23">
        <f t="shared" si="56"/>
        <v>1.6760667692222602</v>
      </c>
      <c r="P223" s="28">
        <f t="shared" si="57"/>
        <v>4.4449457164916328E-2</v>
      </c>
      <c r="Q223" s="28">
        <f t="shared" si="58"/>
        <v>4.4449457164916328E-2</v>
      </c>
      <c r="R223" s="27">
        <f t="shared" si="59"/>
        <v>95.077586773305953</v>
      </c>
    </row>
    <row r="224" spans="2:18">
      <c r="B224" s="6">
        <v>96.37</v>
      </c>
      <c r="C224" s="6">
        <v>93.87</v>
      </c>
      <c r="D224" s="7">
        <f t="shared" si="45"/>
        <v>95.12</v>
      </c>
      <c r="E224" s="18">
        <f t="shared" si="46"/>
        <v>92.12</v>
      </c>
      <c r="F224" s="18">
        <f t="shared" si="47"/>
        <v>99</v>
      </c>
      <c r="G224" s="19">
        <f t="shared" si="48"/>
        <v>6.8799999999999955</v>
      </c>
      <c r="H224" s="21">
        <f t="shared" si="49"/>
        <v>90</v>
      </c>
      <c r="I224" s="22">
        <f t="shared" si="50"/>
        <v>97.5</v>
      </c>
      <c r="J224" s="20">
        <f t="shared" si="51"/>
        <v>7.5</v>
      </c>
      <c r="K224" s="14">
        <f t="shared" si="52"/>
        <v>90</v>
      </c>
      <c r="L224" s="14">
        <f t="shared" si="53"/>
        <v>99</v>
      </c>
      <c r="M224" s="14">
        <f t="shared" si="54"/>
        <v>9</v>
      </c>
      <c r="N224" s="23">
        <f t="shared" si="55"/>
        <v>1.6760667692222602</v>
      </c>
      <c r="O224" s="23">
        <f t="shared" si="56"/>
        <v>1.6760667692222602</v>
      </c>
      <c r="P224" s="28">
        <f t="shared" si="57"/>
        <v>4.4449457164916328E-2</v>
      </c>
      <c r="Q224" s="28">
        <f t="shared" si="58"/>
        <v>4.4449457164916328E-2</v>
      </c>
      <c r="R224" s="27">
        <f t="shared" si="59"/>
        <v>95.079472018209117</v>
      </c>
    </row>
    <row r="225" spans="2:18">
      <c r="B225" s="6">
        <v>95</v>
      </c>
      <c r="C225" s="6">
        <v>93</v>
      </c>
      <c r="D225" s="7">
        <f t="shared" si="45"/>
        <v>94</v>
      </c>
      <c r="E225" s="18">
        <f t="shared" si="46"/>
        <v>90</v>
      </c>
      <c r="F225" s="18">
        <f t="shared" si="47"/>
        <v>99</v>
      </c>
      <c r="G225" s="19">
        <f t="shared" si="48"/>
        <v>9</v>
      </c>
      <c r="H225" s="21">
        <f t="shared" si="49"/>
        <v>90.19</v>
      </c>
      <c r="I225" s="22">
        <f t="shared" si="50"/>
        <v>97.5</v>
      </c>
      <c r="J225" s="20">
        <f t="shared" si="51"/>
        <v>7.3100000000000023</v>
      </c>
      <c r="K225" s="14">
        <f t="shared" si="52"/>
        <v>90</v>
      </c>
      <c r="L225" s="14">
        <f t="shared" si="53"/>
        <v>99</v>
      </c>
      <c r="M225" s="14">
        <f t="shared" si="54"/>
        <v>9</v>
      </c>
      <c r="N225" s="23">
        <f t="shared" si="55"/>
        <v>1.8577598754948474</v>
      </c>
      <c r="O225" s="23">
        <f t="shared" si="56"/>
        <v>1.8577598754948474</v>
      </c>
      <c r="P225" s="28">
        <f t="shared" si="57"/>
        <v>1.925219487310988E-2</v>
      </c>
      <c r="Q225" s="28">
        <f t="shared" si="58"/>
        <v>1.925219487310988E-2</v>
      </c>
      <c r="R225" s="27">
        <f t="shared" si="59"/>
        <v>95.058689812554491</v>
      </c>
    </row>
    <row r="226" spans="2:18">
      <c r="B226" s="6">
        <v>94.87</v>
      </c>
      <c r="C226" s="6">
        <v>92.62</v>
      </c>
      <c r="D226" s="7">
        <f t="shared" si="45"/>
        <v>93.745000000000005</v>
      </c>
      <c r="E226" s="18">
        <f t="shared" si="46"/>
        <v>90</v>
      </c>
      <c r="F226" s="18">
        <f t="shared" si="47"/>
        <v>99</v>
      </c>
      <c r="G226" s="19">
        <f t="shared" si="48"/>
        <v>9</v>
      </c>
      <c r="H226" s="21">
        <f t="shared" si="49"/>
        <v>90.5</v>
      </c>
      <c r="I226" s="22">
        <f t="shared" si="50"/>
        <v>97.5</v>
      </c>
      <c r="J226" s="20">
        <f t="shared" si="51"/>
        <v>7</v>
      </c>
      <c r="K226" s="14">
        <f t="shared" si="52"/>
        <v>90</v>
      </c>
      <c r="L226" s="14">
        <f t="shared" si="53"/>
        <v>99</v>
      </c>
      <c r="M226" s="14">
        <f t="shared" si="54"/>
        <v>9</v>
      </c>
      <c r="N226" s="23">
        <f t="shared" si="55"/>
        <v>1.8300749985576874</v>
      </c>
      <c r="O226" s="23">
        <f t="shared" si="56"/>
        <v>1.8300749985576874</v>
      </c>
      <c r="P226" s="28">
        <f t="shared" si="57"/>
        <v>2.1870061428574884E-2</v>
      </c>
      <c r="Q226" s="28">
        <f t="shared" si="58"/>
        <v>2.1870061428574884E-2</v>
      </c>
      <c r="R226" s="27">
        <f t="shared" si="59"/>
        <v>95.029959335655832</v>
      </c>
    </row>
    <row r="227" spans="2:18">
      <c r="B227" s="6">
        <v>98.25</v>
      </c>
      <c r="C227" s="6">
        <v>93.56</v>
      </c>
      <c r="D227" s="7">
        <f t="shared" si="45"/>
        <v>95.905000000000001</v>
      </c>
      <c r="E227" s="18">
        <f t="shared" si="46"/>
        <v>90</v>
      </c>
      <c r="F227" s="18">
        <f t="shared" si="47"/>
        <v>99</v>
      </c>
      <c r="G227" s="19">
        <f t="shared" si="48"/>
        <v>9</v>
      </c>
      <c r="H227" s="21">
        <f t="shared" si="49"/>
        <v>92.12</v>
      </c>
      <c r="I227" s="22">
        <f t="shared" si="50"/>
        <v>98.25</v>
      </c>
      <c r="J227" s="20">
        <f t="shared" si="51"/>
        <v>6.1299999999999955</v>
      </c>
      <c r="K227" s="14">
        <f t="shared" si="52"/>
        <v>90</v>
      </c>
      <c r="L227" s="14">
        <f t="shared" si="53"/>
        <v>99</v>
      </c>
      <c r="M227" s="14">
        <f t="shared" si="54"/>
        <v>9</v>
      </c>
      <c r="N227" s="23">
        <f t="shared" si="55"/>
        <v>1.7494150809996998</v>
      </c>
      <c r="O227" s="23">
        <f t="shared" si="56"/>
        <v>1.7494150809996998</v>
      </c>
      <c r="P227" s="28">
        <f t="shared" si="57"/>
        <v>3.1708072169315239E-2</v>
      </c>
      <c r="Q227" s="28">
        <f t="shared" si="58"/>
        <v>3.1708072169315239E-2</v>
      </c>
      <c r="R227" s="27">
        <f t="shared" si="59"/>
        <v>95.057705188191946</v>
      </c>
    </row>
    <row r="228" spans="2:18">
      <c r="B228" s="6">
        <v>105.12</v>
      </c>
      <c r="C228" s="6">
        <v>98.37</v>
      </c>
      <c r="D228" s="7">
        <f t="shared" si="45"/>
        <v>101.745</v>
      </c>
      <c r="E228" s="18">
        <f t="shared" si="46"/>
        <v>90</v>
      </c>
      <c r="F228" s="18">
        <f t="shared" si="47"/>
        <v>99</v>
      </c>
      <c r="G228" s="19">
        <f t="shared" si="48"/>
        <v>9</v>
      </c>
      <c r="H228" s="21">
        <f t="shared" si="49"/>
        <v>92.62</v>
      </c>
      <c r="I228" s="22">
        <f t="shared" si="50"/>
        <v>105.12</v>
      </c>
      <c r="J228" s="20">
        <f t="shared" si="51"/>
        <v>12.5</v>
      </c>
      <c r="K228" s="14">
        <f t="shared" si="52"/>
        <v>90</v>
      </c>
      <c r="L228" s="14">
        <f t="shared" si="53"/>
        <v>105.12</v>
      </c>
      <c r="M228" s="14">
        <f t="shared" si="54"/>
        <v>15.120000000000005</v>
      </c>
      <c r="N228" s="23">
        <f t="shared" si="55"/>
        <v>1.5078785202557496</v>
      </c>
      <c r="O228" s="23">
        <f t="shared" si="56"/>
        <v>1.5078785202557496</v>
      </c>
      <c r="P228" s="28">
        <f t="shared" si="57"/>
        <v>9.6436837406563419E-2</v>
      </c>
      <c r="Q228" s="28">
        <f t="shared" si="58"/>
        <v>9.6436837406563419E-2</v>
      </c>
      <c r="R228" s="27">
        <f t="shared" si="59"/>
        <v>95.70260675064803</v>
      </c>
    </row>
    <row r="229" spans="2:18">
      <c r="B229" s="6">
        <v>108.44</v>
      </c>
      <c r="C229" s="6">
        <v>104.44</v>
      </c>
      <c r="D229" s="7">
        <f t="shared" si="45"/>
        <v>106.44</v>
      </c>
      <c r="E229" s="18">
        <f t="shared" si="46"/>
        <v>90</v>
      </c>
      <c r="F229" s="18">
        <f t="shared" si="47"/>
        <v>98.81</v>
      </c>
      <c r="G229" s="19">
        <f t="shared" si="48"/>
        <v>8.8100000000000023</v>
      </c>
      <c r="H229" s="21">
        <f t="shared" si="49"/>
        <v>92.62</v>
      </c>
      <c r="I229" s="22">
        <f t="shared" si="50"/>
        <v>108.44</v>
      </c>
      <c r="J229" s="20">
        <f t="shared" si="51"/>
        <v>15.819999999999993</v>
      </c>
      <c r="K229" s="14">
        <f t="shared" si="52"/>
        <v>90</v>
      </c>
      <c r="L229" s="14">
        <f t="shared" si="53"/>
        <v>108.44</v>
      </c>
      <c r="M229" s="14">
        <f t="shared" si="54"/>
        <v>18.439999999999998</v>
      </c>
      <c r="N229" s="23">
        <f t="shared" si="55"/>
        <v>1.4175779720696229</v>
      </c>
      <c r="O229" s="23">
        <f t="shared" si="56"/>
        <v>1.4175779720696229</v>
      </c>
      <c r="P229" s="28">
        <f t="shared" si="57"/>
        <v>0.14616522379503624</v>
      </c>
      <c r="Q229" s="28">
        <f t="shared" si="58"/>
        <v>0.14616522379503624</v>
      </c>
      <c r="R229" s="27">
        <f t="shared" si="59"/>
        <v>97.272040237914865</v>
      </c>
    </row>
    <row r="230" spans="2:18">
      <c r="B230" s="6">
        <v>109.87</v>
      </c>
      <c r="C230" s="6">
        <v>106</v>
      </c>
      <c r="D230" s="7">
        <f t="shared" si="45"/>
        <v>107.935</v>
      </c>
      <c r="E230" s="18">
        <f t="shared" si="46"/>
        <v>90</v>
      </c>
      <c r="F230" s="18">
        <f t="shared" si="47"/>
        <v>97.5</v>
      </c>
      <c r="G230" s="19">
        <f t="shared" si="48"/>
        <v>7.5</v>
      </c>
      <c r="H230" s="21">
        <f t="shared" si="49"/>
        <v>92.62</v>
      </c>
      <c r="I230" s="22">
        <f t="shared" si="50"/>
        <v>109.87</v>
      </c>
      <c r="J230" s="20">
        <f t="shared" si="51"/>
        <v>17.25</v>
      </c>
      <c r="K230" s="14">
        <f t="shared" si="52"/>
        <v>90</v>
      </c>
      <c r="L230" s="14">
        <f t="shared" si="53"/>
        <v>109.87</v>
      </c>
      <c r="M230" s="14">
        <f t="shared" si="54"/>
        <v>19.870000000000005</v>
      </c>
      <c r="N230" s="23">
        <f t="shared" si="55"/>
        <v>1.316836652604664</v>
      </c>
      <c r="O230" s="23">
        <f t="shared" si="56"/>
        <v>1.316836652604664</v>
      </c>
      <c r="P230" s="28">
        <f t="shared" si="57"/>
        <v>0.232448471516633</v>
      </c>
      <c r="Q230" s="28">
        <f t="shared" si="58"/>
        <v>0.232448471516633</v>
      </c>
      <c r="R230" s="27">
        <f t="shared" si="59"/>
        <v>99.750628936454916</v>
      </c>
    </row>
    <row r="231" spans="2:18">
      <c r="B231" s="6">
        <v>105</v>
      </c>
      <c r="C231" s="6">
        <v>101.81</v>
      </c>
      <c r="D231" s="7">
        <f t="shared" si="45"/>
        <v>103.405</v>
      </c>
      <c r="E231" s="18">
        <f t="shared" si="46"/>
        <v>90</v>
      </c>
      <c r="F231" s="18">
        <f t="shared" si="47"/>
        <v>97.5</v>
      </c>
      <c r="G231" s="19">
        <f t="shared" si="48"/>
        <v>7.5</v>
      </c>
      <c r="H231" s="21">
        <f t="shared" si="49"/>
        <v>92.62</v>
      </c>
      <c r="I231" s="22">
        <f t="shared" si="50"/>
        <v>109.87</v>
      </c>
      <c r="J231" s="20">
        <f t="shared" si="51"/>
        <v>17.25</v>
      </c>
      <c r="K231" s="14">
        <f t="shared" si="52"/>
        <v>90</v>
      </c>
      <c r="L231" s="14">
        <f t="shared" si="53"/>
        <v>109.87</v>
      </c>
      <c r="M231" s="14">
        <f t="shared" si="54"/>
        <v>19.870000000000005</v>
      </c>
      <c r="N231" s="23">
        <f t="shared" si="55"/>
        <v>1.316836652604664</v>
      </c>
      <c r="O231" s="23">
        <f t="shared" si="56"/>
        <v>1.316836652604664</v>
      </c>
      <c r="P231" s="28">
        <f t="shared" si="57"/>
        <v>0.232448471516633</v>
      </c>
      <c r="Q231" s="28">
        <f t="shared" si="58"/>
        <v>0.232448471516633</v>
      </c>
      <c r="R231" s="27">
        <f t="shared" si="59"/>
        <v>100.60008190453058</v>
      </c>
    </row>
    <row r="232" spans="2:18">
      <c r="B232" s="6">
        <v>106</v>
      </c>
      <c r="C232" s="6">
        <v>104.12</v>
      </c>
      <c r="D232" s="7">
        <f t="shared" si="45"/>
        <v>105.06</v>
      </c>
      <c r="E232" s="18">
        <f t="shared" si="46"/>
        <v>90</v>
      </c>
      <c r="F232" s="18">
        <f t="shared" si="47"/>
        <v>97.5</v>
      </c>
      <c r="G232" s="19">
        <f t="shared" si="48"/>
        <v>7.5</v>
      </c>
      <c r="H232" s="21">
        <f t="shared" si="49"/>
        <v>92.62</v>
      </c>
      <c r="I232" s="22">
        <f t="shared" si="50"/>
        <v>109.87</v>
      </c>
      <c r="J232" s="20">
        <f t="shared" si="51"/>
        <v>17.25</v>
      </c>
      <c r="K232" s="14">
        <f t="shared" si="52"/>
        <v>90</v>
      </c>
      <c r="L232" s="14">
        <f t="shared" si="53"/>
        <v>109.87</v>
      </c>
      <c r="M232" s="14">
        <f t="shared" si="54"/>
        <v>19.870000000000005</v>
      </c>
      <c r="N232" s="23">
        <f t="shared" si="55"/>
        <v>1.316836652604664</v>
      </c>
      <c r="O232" s="23">
        <f t="shared" si="56"/>
        <v>1.316836652604664</v>
      </c>
      <c r="P232" s="28">
        <f t="shared" si="57"/>
        <v>0.232448471516633</v>
      </c>
      <c r="Q232" s="28">
        <f t="shared" si="58"/>
        <v>0.232448471516633</v>
      </c>
      <c r="R232" s="27">
        <f t="shared" si="59"/>
        <v>101.63678304891182</v>
      </c>
    </row>
    <row r="233" spans="2:18">
      <c r="B233" s="6">
        <v>104.94</v>
      </c>
      <c r="C233" s="6">
        <v>103.37</v>
      </c>
      <c r="D233" s="7">
        <f t="shared" si="45"/>
        <v>104.155</v>
      </c>
      <c r="E233" s="18">
        <f t="shared" si="46"/>
        <v>90.19</v>
      </c>
      <c r="F233" s="18">
        <f t="shared" si="47"/>
        <v>97.5</v>
      </c>
      <c r="G233" s="19">
        <f t="shared" si="48"/>
        <v>7.3100000000000023</v>
      </c>
      <c r="H233" s="21">
        <f t="shared" si="49"/>
        <v>92.62</v>
      </c>
      <c r="I233" s="22">
        <f t="shared" si="50"/>
        <v>109.87</v>
      </c>
      <c r="J233" s="20">
        <f t="shared" si="51"/>
        <v>17.25</v>
      </c>
      <c r="K233" s="14">
        <f t="shared" si="52"/>
        <v>90.19</v>
      </c>
      <c r="L233" s="14">
        <f t="shared" si="53"/>
        <v>109.87</v>
      </c>
      <c r="M233" s="14">
        <f t="shared" si="54"/>
        <v>19.680000000000007</v>
      </c>
      <c r="N233" s="23">
        <f t="shared" si="55"/>
        <v>1.3195803400309392</v>
      </c>
      <c r="O233" s="23">
        <f t="shared" si="56"/>
        <v>1.3195803400309392</v>
      </c>
      <c r="P233" s="28">
        <f t="shared" si="57"/>
        <v>0.22952992772832478</v>
      </c>
      <c r="Q233" s="28">
        <f t="shared" si="58"/>
        <v>0.22952992772832478</v>
      </c>
      <c r="R233" s="27">
        <f t="shared" si="59"/>
        <v>102.21478920369934</v>
      </c>
    </row>
    <row r="234" spans="2:18">
      <c r="B234" s="6">
        <v>104.5</v>
      </c>
      <c r="C234" s="6">
        <v>102.12</v>
      </c>
      <c r="D234" s="7">
        <f t="shared" si="45"/>
        <v>103.31</v>
      </c>
      <c r="E234" s="18">
        <f t="shared" si="46"/>
        <v>90.5</v>
      </c>
      <c r="F234" s="18">
        <f t="shared" si="47"/>
        <v>97.5</v>
      </c>
      <c r="G234" s="19">
        <f t="shared" si="48"/>
        <v>7</v>
      </c>
      <c r="H234" s="21">
        <f t="shared" si="49"/>
        <v>93.56</v>
      </c>
      <c r="I234" s="22">
        <f t="shared" si="50"/>
        <v>109.87</v>
      </c>
      <c r="J234" s="20">
        <f t="shared" si="51"/>
        <v>16.310000000000002</v>
      </c>
      <c r="K234" s="14">
        <f t="shared" si="52"/>
        <v>90.5</v>
      </c>
      <c r="L234" s="14">
        <f t="shared" si="53"/>
        <v>109.87</v>
      </c>
      <c r="M234" s="14">
        <f t="shared" si="54"/>
        <v>19.370000000000005</v>
      </c>
      <c r="N234" s="23">
        <f t="shared" si="55"/>
        <v>1.2671250505256124</v>
      </c>
      <c r="O234" s="23">
        <f t="shared" si="56"/>
        <v>1.2671250505256124</v>
      </c>
      <c r="P234" s="28">
        <f t="shared" si="57"/>
        <v>0.29224689048205055</v>
      </c>
      <c r="Q234" s="28">
        <f t="shared" si="58"/>
        <v>0.29224689048205055</v>
      </c>
      <c r="R234" s="27">
        <f t="shared" si="59"/>
        <v>102.53486115334059</v>
      </c>
    </row>
    <row r="235" spans="2:18">
      <c r="B235" s="6">
        <v>104.44</v>
      </c>
      <c r="C235" s="6">
        <v>102.25</v>
      </c>
      <c r="D235" s="7">
        <f t="shared" si="45"/>
        <v>103.345</v>
      </c>
      <c r="E235" s="18">
        <f t="shared" si="46"/>
        <v>92.12</v>
      </c>
      <c r="F235" s="18">
        <f t="shared" si="47"/>
        <v>98.25</v>
      </c>
      <c r="G235" s="19">
        <f t="shared" si="48"/>
        <v>6.1299999999999955</v>
      </c>
      <c r="H235" s="21">
        <f t="shared" si="49"/>
        <v>98.37</v>
      </c>
      <c r="I235" s="22">
        <f t="shared" si="50"/>
        <v>109.87</v>
      </c>
      <c r="J235" s="20">
        <f t="shared" si="51"/>
        <v>11.5</v>
      </c>
      <c r="K235" s="14">
        <f t="shared" si="52"/>
        <v>92.12</v>
      </c>
      <c r="L235" s="14">
        <f t="shared" si="53"/>
        <v>109.87</v>
      </c>
      <c r="M235" s="14">
        <f t="shared" si="54"/>
        <v>17.75</v>
      </c>
      <c r="N235" s="23">
        <f t="shared" si="55"/>
        <v>0.99021345004077466</v>
      </c>
      <c r="O235" s="23">
        <f t="shared" si="56"/>
        <v>1</v>
      </c>
      <c r="P235" s="28">
        <f t="shared" si="57"/>
        <v>1</v>
      </c>
      <c r="Q235" s="28">
        <f t="shared" si="58"/>
        <v>1</v>
      </c>
      <c r="R235" s="27">
        <f t="shared" si="59"/>
        <v>103.345</v>
      </c>
    </row>
    <row r="236" spans="2:18">
      <c r="B236" s="6">
        <v>106.31</v>
      </c>
      <c r="C236" s="6">
        <v>103.37</v>
      </c>
      <c r="D236" s="7">
        <f t="shared" si="45"/>
        <v>104.84</v>
      </c>
      <c r="E236" s="18">
        <f t="shared" si="46"/>
        <v>92.62</v>
      </c>
      <c r="F236" s="18">
        <f t="shared" si="47"/>
        <v>105.12</v>
      </c>
      <c r="G236" s="19">
        <f t="shared" si="48"/>
        <v>12.5</v>
      </c>
      <c r="H236" s="21">
        <f t="shared" si="49"/>
        <v>101.81</v>
      </c>
      <c r="I236" s="22">
        <f t="shared" si="50"/>
        <v>109.87</v>
      </c>
      <c r="J236" s="20">
        <f t="shared" si="51"/>
        <v>8.0600000000000023</v>
      </c>
      <c r="K236" s="14">
        <f t="shared" si="52"/>
        <v>92.62</v>
      </c>
      <c r="L236" s="14">
        <f t="shared" si="53"/>
        <v>109.87</v>
      </c>
      <c r="M236" s="14">
        <f t="shared" si="54"/>
        <v>17.25</v>
      </c>
      <c r="N236" s="23">
        <f t="shared" si="55"/>
        <v>1.2532439026409845</v>
      </c>
      <c r="O236" s="23">
        <f t="shared" si="56"/>
        <v>1.2532439026409845</v>
      </c>
      <c r="P236" s="28">
        <f t="shared" si="57"/>
        <v>0.31153883729069609</v>
      </c>
      <c r="Q236" s="28">
        <f t="shared" si="58"/>
        <v>0.31153883729069609</v>
      </c>
      <c r="R236" s="27">
        <f t="shared" si="59"/>
        <v>103.81075056174959</v>
      </c>
    </row>
    <row r="237" spans="2:18">
      <c r="B237" s="6">
        <v>112.87</v>
      </c>
      <c r="C237" s="6">
        <v>107.94</v>
      </c>
      <c r="D237" s="7">
        <f t="shared" si="45"/>
        <v>110.405</v>
      </c>
      <c r="E237" s="18">
        <f t="shared" si="46"/>
        <v>92.62</v>
      </c>
      <c r="F237" s="18">
        <f t="shared" si="47"/>
        <v>108.44</v>
      </c>
      <c r="G237" s="19">
        <f t="shared" si="48"/>
        <v>15.819999999999993</v>
      </c>
      <c r="H237" s="21">
        <f t="shared" si="49"/>
        <v>101.81</v>
      </c>
      <c r="I237" s="22">
        <f t="shared" si="50"/>
        <v>112.87</v>
      </c>
      <c r="J237" s="20">
        <f t="shared" si="51"/>
        <v>11.060000000000002</v>
      </c>
      <c r="K237" s="14">
        <f t="shared" si="52"/>
        <v>92.62</v>
      </c>
      <c r="L237" s="14">
        <f t="shared" si="53"/>
        <v>112.87</v>
      </c>
      <c r="M237" s="14">
        <f t="shared" si="54"/>
        <v>20.25</v>
      </c>
      <c r="N237" s="23">
        <f t="shared" si="55"/>
        <v>1.4086112301194107</v>
      </c>
      <c r="O237" s="23">
        <f t="shared" si="56"/>
        <v>1.4086112301194107</v>
      </c>
      <c r="P237" s="28">
        <f t="shared" si="57"/>
        <v>0.15232722826322229</v>
      </c>
      <c r="Q237" s="28">
        <f t="shared" si="58"/>
        <v>0.15232722826322229</v>
      </c>
      <c r="R237" s="27">
        <f t="shared" si="59"/>
        <v>104.81523430115459</v>
      </c>
    </row>
    <row r="238" spans="2:18">
      <c r="B238" s="6">
        <v>116.5</v>
      </c>
      <c r="C238" s="6">
        <v>112.5</v>
      </c>
      <c r="D238" s="7">
        <f t="shared" si="45"/>
        <v>114.5</v>
      </c>
      <c r="E238" s="18">
        <f t="shared" si="46"/>
        <v>92.62</v>
      </c>
      <c r="F238" s="18">
        <f t="shared" si="47"/>
        <v>109.87</v>
      </c>
      <c r="G238" s="19">
        <f t="shared" si="48"/>
        <v>17.25</v>
      </c>
      <c r="H238" s="21">
        <f t="shared" si="49"/>
        <v>101.81</v>
      </c>
      <c r="I238" s="22">
        <f t="shared" si="50"/>
        <v>116.5</v>
      </c>
      <c r="J238" s="20">
        <f t="shared" si="51"/>
        <v>14.689999999999998</v>
      </c>
      <c r="K238" s="14">
        <f t="shared" si="52"/>
        <v>92.62</v>
      </c>
      <c r="L238" s="14">
        <f t="shared" si="53"/>
        <v>116.5</v>
      </c>
      <c r="M238" s="14">
        <f t="shared" si="54"/>
        <v>23.879999999999995</v>
      </c>
      <c r="N238" s="23">
        <f t="shared" si="55"/>
        <v>1.4195614761464279</v>
      </c>
      <c r="O238" s="23">
        <f t="shared" si="56"/>
        <v>1.4195614761464279</v>
      </c>
      <c r="P238" s="28">
        <f t="shared" si="57"/>
        <v>0.14483617525280093</v>
      </c>
      <c r="Q238" s="28">
        <f t="shared" si="58"/>
        <v>0.14483617525280093</v>
      </c>
      <c r="R238" s="27">
        <f t="shared" si="59"/>
        <v>106.21793872319488</v>
      </c>
    </row>
    <row r="239" spans="2:18">
      <c r="B239" s="6">
        <v>119.19</v>
      </c>
      <c r="C239" s="6">
        <v>115.44</v>
      </c>
      <c r="D239" s="7">
        <f t="shared" si="45"/>
        <v>117.315</v>
      </c>
      <c r="E239" s="18">
        <f t="shared" si="46"/>
        <v>92.62</v>
      </c>
      <c r="F239" s="18">
        <f t="shared" si="47"/>
        <v>109.87</v>
      </c>
      <c r="G239" s="19">
        <f t="shared" si="48"/>
        <v>17.25</v>
      </c>
      <c r="H239" s="21">
        <f t="shared" si="49"/>
        <v>102.12</v>
      </c>
      <c r="I239" s="22">
        <f t="shared" si="50"/>
        <v>119.19</v>
      </c>
      <c r="J239" s="20">
        <f t="shared" si="51"/>
        <v>17.069999999999993</v>
      </c>
      <c r="K239" s="14">
        <f t="shared" si="52"/>
        <v>92.62</v>
      </c>
      <c r="L239" s="14">
        <f t="shared" si="53"/>
        <v>119.19</v>
      </c>
      <c r="M239" s="14">
        <f t="shared" si="54"/>
        <v>26.569999999999993</v>
      </c>
      <c r="N239" s="23">
        <f t="shared" si="55"/>
        <v>1.3692513250090392</v>
      </c>
      <c r="O239" s="23">
        <f t="shared" si="56"/>
        <v>1.3692513250090392</v>
      </c>
      <c r="P239" s="28">
        <f t="shared" si="57"/>
        <v>0.18259856070737804</v>
      </c>
      <c r="Q239" s="28">
        <f t="shared" si="58"/>
        <v>0.18259856070737804</v>
      </c>
      <c r="R239" s="27">
        <f t="shared" si="59"/>
        <v>108.24424614042107</v>
      </c>
    </row>
    <row r="240" spans="2:18">
      <c r="B240" s="6">
        <v>121</v>
      </c>
      <c r="C240" s="6">
        <v>115.5</v>
      </c>
      <c r="D240" s="7">
        <f t="shared" si="45"/>
        <v>118.25</v>
      </c>
      <c r="E240" s="18">
        <f t="shared" si="46"/>
        <v>92.62</v>
      </c>
      <c r="F240" s="18">
        <f t="shared" si="47"/>
        <v>109.87</v>
      </c>
      <c r="G240" s="19">
        <f t="shared" si="48"/>
        <v>17.25</v>
      </c>
      <c r="H240" s="21">
        <f t="shared" si="49"/>
        <v>102.12</v>
      </c>
      <c r="I240" s="22">
        <f t="shared" si="50"/>
        <v>121</v>
      </c>
      <c r="J240" s="20">
        <f t="shared" si="51"/>
        <v>18.879999999999995</v>
      </c>
      <c r="K240" s="14">
        <f t="shared" si="52"/>
        <v>92.62</v>
      </c>
      <c r="L240" s="14">
        <f t="shared" si="53"/>
        <v>121</v>
      </c>
      <c r="M240" s="14">
        <f t="shared" si="54"/>
        <v>28.379999999999995</v>
      </c>
      <c r="N240" s="23">
        <f t="shared" si="55"/>
        <v>1.348322665371892</v>
      </c>
      <c r="O240" s="23">
        <f t="shared" si="56"/>
        <v>1.348322665371892</v>
      </c>
      <c r="P240" s="28">
        <f t="shared" si="57"/>
        <v>0.20107342207363979</v>
      </c>
      <c r="Q240" s="28">
        <f t="shared" si="58"/>
        <v>0.20107342207363979</v>
      </c>
      <c r="R240" s="27">
        <f t="shared" si="59"/>
        <v>110.25613730939314</v>
      </c>
    </row>
    <row r="241" spans="2:18">
      <c r="B241" s="6">
        <v>122.12</v>
      </c>
      <c r="C241" s="6">
        <v>112.25</v>
      </c>
      <c r="D241" s="7">
        <f t="shared" si="45"/>
        <v>117.185</v>
      </c>
      <c r="E241" s="18">
        <f t="shared" si="46"/>
        <v>92.62</v>
      </c>
      <c r="F241" s="18">
        <f t="shared" si="47"/>
        <v>109.87</v>
      </c>
      <c r="G241" s="19">
        <f t="shared" si="48"/>
        <v>17.25</v>
      </c>
      <c r="H241" s="21">
        <f t="shared" si="49"/>
        <v>102.12</v>
      </c>
      <c r="I241" s="22">
        <f t="shared" si="50"/>
        <v>122.12</v>
      </c>
      <c r="J241" s="20">
        <f t="shared" si="51"/>
        <v>20</v>
      </c>
      <c r="K241" s="14">
        <f t="shared" si="52"/>
        <v>92.62</v>
      </c>
      <c r="L241" s="14">
        <f t="shared" si="53"/>
        <v>122.12</v>
      </c>
      <c r="M241" s="14">
        <f t="shared" si="54"/>
        <v>29.5</v>
      </c>
      <c r="N241" s="23">
        <f t="shared" si="55"/>
        <v>1.3365254711003205</v>
      </c>
      <c r="O241" s="23">
        <f t="shared" si="56"/>
        <v>1.3365254711003205</v>
      </c>
      <c r="P241" s="28">
        <f t="shared" si="57"/>
        <v>0.21229954226813466</v>
      </c>
      <c r="Q241" s="28">
        <f t="shared" si="58"/>
        <v>0.21229954226813466</v>
      </c>
      <c r="R241" s="27">
        <f t="shared" si="59"/>
        <v>111.72713168704773</v>
      </c>
    </row>
    <row r="242" spans="2:18">
      <c r="B242" s="6">
        <v>111.94</v>
      </c>
      <c r="C242" s="6">
        <v>107.56</v>
      </c>
      <c r="D242" s="7">
        <f t="shared" si="45"/>
        <v>109.75</v>
      </c>
      <c r="E242" s="18">
        <f t="shared" si="46"/>
        <v>93.56</v>
      </c>
      <c r="F242" s="18">
        <f t="shared" si="47"/>
        <v>109.87</v>
      </c>
      <c r="G242" s="19">
        <f t="shared" si="48"/>
        <v>16.310000000000002</v>
      </c>
      <c r="H242" s="21">
        <f t="shared" si="49"/>
        <v>102.25</v>
      </c>
      <c r="I242" s="22">
        <f t="shared" si="50"/>
        <v>122.12</v>
      </c>
      <c r="J242" s="20">
        <f t="shared" si="51"/>
        <v>19.870000000000005</v>
      </c>
      <c r="K242" s="14">
        <f t="shared" si="52"/>
        <v>93.56</v>
      </c>
      <c r="L242" s="14">
        <f t="shared" si="53"/>
        <v>122.12</v>
      </c>
      <c r="M242" s="14">
        <f t="shared" si="54"/>
        <v>28.560000000000002</v>
      </c>
      <c r="N242" s="23">
        <f t="shared" si="55"/>
        <v>1.3411964285921416</v>
      </c>
      <c r="O242" s="23">
        <f t="shared" si="56"/>
        <v>1.3411964285921416</v>
      </c>
      <c r="P242" s="28">
        <f t="shared" si="57"/>
        <v>0.20778162709448411</v>
      </c>
      <c r="Q242" s="28">
        <f t="shared" si="58"/>
        <v>0.20778162709448411</v>
      </c>
      <c r="R242" s="27">
        <f t="shared" si="59"/>
        <v>111.31632004813289</v>
      </c>
    </row>
    <row r="243" spans="2:18">
      <c r="B243" s="6">
        <v>112.75</v>
      </c>
      <c r="C243" s="6">
        <v>106.56</v>
      </c>
      <c r="D243" s="7">
        <f t="shared" si="45"/>
        <v>109.655</v>
      </c>
      <c r="E243" s="18">
        <f t="shared" si="46"/>
        <v>98.37</v>
      </c>
      <c r="F243" s="18">
        <f t="shared" si="47"/>
        <v>109.87</v>
      </c>
      <c r="G243" s="19">
        <f t="shared" si="48"/>
        <v>11.5</v>
      </c>
      <c r="H243" s="21">
        <f t="shared" si="49"/>
        <v>103.37</v>
      </c>
      <c r="I243" s="22">
        <f t="shared" si="50"/>
        <v>122.12</v>
      </c>
      <c r="J243" s="20">
        <f t="shared" si="51"/>
        <v>18.75</v>
      </c>
      <c r="K243" s="14">
        <f t="shared" si="52"/>
        <v>98.37</v>
      </c>
      <c r="L243" s="14">
        <f t="shared" si="53"/>
        <v>122.12</v>
      </c>
      <c r="M243" s="14">
        <f t="shared" si="54"/>
        <v>23.75</v>
      </c>
      <c r="N243" s="23">
        <f t="shared" si="55"/>
        <v>1.3490076289436466</v>
      </c>
      <c r="O243" s="23">
        <f t="shared" si="56"/>
        <v>1.3490076289436466</v>
      </c>
      <c r="P243" s="28">
        <f t="shared" si="57"/>
        <v>0.20044016063206654</v>
      </c>
      <c r="Q243" s="28">
        <f t="shared" si="58"/>
        <v>0.20044016063206654</v>
      </c>
      <c r="R243" s="27">
        <f t="shared" si="59"/>
        <v>110.98332479082386</v>
      </c>
    </row>
    <row r="244" spans="2:18">
      <c r="B244" s="6">
        <v>110.19</v>
      </c>
      <c r="C244" s="6">
        <v>106.87</v>
      </c>
      <c r="D244" s="7">
        <f t="shared" si="45"/>
        <v>108.53</v>
      </c>
      <c r="E244" s="18">
        <f t="shared" si="46"/>
        <v>101.81</v>
      </c>
      <c r="F244" s="18">
        <f t="shared" si="47"/>
        <v>109.87</v>
      </c>
      <c r="G244" s="19">
        <f t="shared" si="48"/>
        <v>8.0600000000000023</v>
      </c>
      <c r="H244" s="21">
        <f t="shared" si="49"/>
        <v>106.56</v>
      </c>
      <c r="I244" s="22">
        <f t="shared" si="50"/>
        <v>122.12</v>
      </c>
      <c r="J244" s="20">
        <f t="shared" si="51"/>
        <v>15.560000000000002</v>
      </c>
      <c r="K244" s="14">
        <f t="shared" si="52"/>
        <v>101.81</v>
      </c>
      <c r="L244" s="14">
        <f t="shared" si="53"/>
        <v>122.12</v>
      </c>
      <c r="M244" s="14">
        <f t="shared" si="54"/>
        <v>20.310000000000002</v>
      </c>
      <c r="N244" s="23">
        <f t="shared" si="55"/>
        <v>1.2178187251010044</v>
      </c>
      <c r="O244" s="23">
        <f t="shared" si="56"/>
        <v>1.2178187251010044</v>
      </c>
      <c r="P244" s="28">
        <f t="shared" si="57"/>
        <v>0.36674360509980503</v>
      </c>
      <c r="Q244" s="28">
        <f t="shared" si="58"/>
        <v>0.36674360509980503</v>
      </c>
      <c r="R244" s="27">
        <f t="shared" si="59"/>
        <v>110.0835836125564</v>
      </c>
    </row>
    <row r="245" spans="2:18">
      <c r="B245" s="6">
        <v>107.94</v>
      </c>
      <c r="C245" s="6">
        <v>104.5</v>
      </c>
      <c r="D245" s="7">
        <f t="shared" si="45"/>
        <v>106.22</v>
      </c>
      <c r="E245" s="18">
        <f t="shared" si="46"/>
        <v>101.81</v>
      </c>
      <c r="F245" s="18">
        <f t="shared" si="47"/>
        <v>112.87</v>
      </c>
      <c r="G245" s="19">
        <f t="shared" si="48"/>
        <v>11.060000000000002</v>
      </c>
      <c r="H245" s="21">
        <f t="shared" si="49"/>
        <v>104.5</v>
      </c>
      <c r="I245" s="22">
        <f t="shared" si="50"/>
        <v>122.12</v>
      </c>
      <c r="J245" s="20">
        <f t="shared" si="51"/>
        <v>17.620000000000005</v>
      </c>
      <c r="K245" s="14">
        <f t="shared" si="52"/>
        <v>101.81</v>
      </c>
      <c r="L245" s="14">
        <f t="shared" si="53"/>
        <v>122.12</v>
      </c>
      <c r="M245" s="14">
        <f t="shared" si="54"/>
        <v>20.310000000000002</v>
      </c>
      <c r="N245" s="23">
        <f t="shared" si="55"/>
        <v>1.4978547844057517</v>
      </c>
      <c r="O245" s="23">
        <f t="shared" si="56"/>
        <v>1.4978547844057517</v>
      </c>
      <c r="P245" s="28">
        <f t="shared" si="57"/>
        <v>0.1009928042127877</v>
      </c>
      <c r="Q245" s="28">
        <f t="shared" si="58"/>
        <v>0.1009928042127877</v>
      </c>
      <c r="R245" s="27">
        <f t="shared" si="59"/>
        <v>109.69338946921376</v>
      </c>
    </row>
    <row r="246" spans="2:18">
      <c r="B246" s="6">
        <v>109.69</v>
      </c>
      <c r="C246" s="6">
        <v>105.75</v>
      </c>
      <c r="D246" s="7">
        <f t="shared" si="45"/>
        <v>107.72</v>
      </c>
      <c r="E246" s="18">
        <f t="shared" si="46"/>
        <v>101.81</v>
      </c>
      <c r="F246" s="18">
        <f t="shared" si="47"/>
        <v>116.5</v>
      </c>
      <c r="G246" s="19">
        <f t="shared" si="48"/>
        <v>14.689999999999998</v>
      </c>
      <c r="H246" s="21">
        <f t="shared" si="49"/>
        <v>104.5</v>
      </c>
      <c r="I246" s="22">
        <f t="shared" si="50"/>
        <v>122.12</v>
      </c>
      <c r="J246" s="20">
        <f t="shared" si="51"/>
        <v>17.620000000000005</v>
      </c>
      <c r="K246" s="14">
        <f t="shared" si="52"/>
        <v>101.81</v>
      </c>
      <c r="L246" s="14">
        <f t="shared" si="53"/>
        <v>122.12</v>
      </c>
      <c r="M246" s="14">
        <f t="shared" si="54"/>
        <v>20.310000000000002</v>
      </c>
      <c r="N246" s="23">
        <f t="shared" si="55"/>
        <v>1.6697905109692106</v>
      </c>
      <c r="O246" s="23">
        <f t="shared" si="56"/>
        <v>1.6697905109692106</v>
      </c>
      <c r="P246" s="28">
        <f t="shared" si="57"/>
        <v>4.5752937028672377E-2</v>
      </c>
      <c r="Q246" s="28">
        <f t="shared" si="58"/>
        <v>4.5752937028672377E-2</v>
      </c>
      <c r="R246" s="27">
        <f t="shared" si="59"/>
        <v>109.60310110509577</v>
      </c>
    </row>
    <row r="247" spans="2:18">
      <c r="B247" s="6">
        <v>111.06</v>
      </c>
      <c r="C247" s="6">
        <v>108.62</v>
      </c>
      <c r="D247" s="7">
        <f t="shared" si="45"/>
        <v>109.84</v>
      </c>
      <c r="E247" s="18">
        <f t="shared" si="46"/>
        <v>102.12</v>
      </c>
      <c r="F247" s="18">
        <f t="shared" si="47"/>
        <v>119.19</v>
      </c>
      <c r="G247" s="19">
        <f t="shared" si="48"/>
        <v>17.069999999999993</v>
      </c>
      <c r="H247" s="21">
        <f t="shared" si="49"/>
        <v>104.5</v>
      </c>
      <c r="I247" s="22">
        <f t="shared" si="50"/>
        <v>122.12</v>
      </c>
      <c r="J247" s="20">
        <f t="shared" si="51"/>
        <v>17.620000000000005</v>
      </c>
      <c r="K247" s="14">
        <f t="shared" si="52"/>
        <v>102.12</v>
      </c>
      <c r="L247" s="14">
        <f t="shared" si="53"/>
        <v>122.12</v>
      </c>
      <c r="M247" s="14">
        <f t="shared" si="54"/>
        <v>20</v>
      </c>
      <c r="N247" s="23">
        <f t="shared" si="55"/>
        <v>1.7945198406242955</v>
      </c>
      <c r="O247" s="23">
        <f t="shared" si="56"/>
        <v>1.7945198406242955</v>
      </c>
      <c r="P247" s="28">
        <f t="shared" si="57"/>
        <v>2.5760857707053549E-2</v>
      </c>
      <c r="Q247" s="28">
        <f t="shared" si="58"/>
        <v>2.5760857707053549E-2</v>
      </c>
      <c r="R247" s="27">
        <f t="shared" si="59"/>
        <v>109.60920382381836</v>
      </c>
    </row>
    <row r="248" spans="2:18">
      <c r="B248" s="6">
        <v>110.44</v>
      </c>
      <c r="C248" s="6">
        <v>107.75</v>
      </c>
      <c r="D248" s="7">
        <f t="shared" si="45"/>
        <v>109.095</v>
      </c>
      <c r="E248" s="18">
        <f t="shared" si="46"/>
        <v>102.12</v>
      </c>
      <c r="F248" s="18">
        <f t="shared" si="47"/>
        <v>121</v>
      </c>
      <c r="G248" s="19">
        <f t="shared" si="48"/>
        <v>18.879999999999995</v>
      </c>
      <c r="H248" s="21">
        <f t="shared" si="49"/>
        <v>104.5</v>
      </c>
      <c r="I248" s="22">
        <f t="shared" si="50"/>
        <v>122.12</v>
      </c>
      <c r="J248" s="20">
        <f t="shared" si="51"/>
        <v>17.620000000000005</v>
      </c>
      <c r="K248" s="14">
        <f t="shared" si="52"/>
        <v>102.12</v>
      </c>
      <c r="L248" s="14">
        <f t="shared" si="53"/>
        <v>122.12</v>
      </c>
      <c r="M248" s="14">
        <f t="shared" si="54"/>
        <v>20</v>
      </c>
      <c r="N248" s="23">
        <f t="shared" si="55"/>
        <v>1.867896463992655</v>
      </c>
      <c r="O248" s="23">
        <f t="shared" si="56"/>
        <v>1.867896463992655</v>
      </c>
      <c r="P248" s="28">
        <f t="shared" si="57"/>
        <v>1.8374142153378507E-2</v>
      </c>
      <c r="Q248" s="28">
        <f t="shared" si="58"/>
        <v>1.8374142153378507E-2</v>
      </c>
      <c r="R248" s="27">
        <f t="shared" si="59"/>
        <v>109.59975576966372</v>
      </c>
    </row>
    <row r="249" spans="2:18">
      <c r="B249" s="6">
        <v>110.12</v>
      </c>
      <c r="C249" s="6">
        <v>108.06</v>
      </c>
      <c r="D249" s="7">
        <f t="shared" si="45"/>
        <v>109.09</v>
      </c>
      <c r="E249" s="18">
        <f t="shared" si="46"/>
        <v>102.12</v>
      </c>
      <c r="F249" s="18">
        <f t="shared" si="47"/>
        <v>122.12</v>
      </c>
      <c r="G249" s="19">
        <f t="shared" si="48"/>
        <v>20</v>
      </c>
      <c r="H249" s="21">
        <f t="shared" si="49"/>
        <v>104.5</v>
      </c>
      <c r="I249" s="22">
        <f t="shared" si="50"/>
        <v>112.75</v>
      </c>
      <c r="J249" s="20">
        <f t="shared" si="51"/>
        <v>8.25</v>
      </c>
      <c r="K249" s="14">
        <f t="shared" si="52"/>
        <v>102.12</v>
      </c>
      <c r="L249" s="14">
        <f t="shared" si="53"/>
        <v>122.12</v>
      </c>
      <c r="M249" s="14">
        <f t="shared" si="54"/>
        <v>20</v>
      </c>
      <c r="N249" s="23">
        <f t="shared" si="55"/>
        <v>1.4982508675278254</v>
      </c>
      <c r="O249" s="23">
        <f t="shared" si="56"/>
        <v>1.4982508675278254</v>
      </c>
      <c r="P249" s="28">
        <f t="shared" si="57"/>
        <v>0.10080875819321676</v>
      </c>
      <c r="Q249" s="28">
        <f t="shared" si="58"/>
        <v>0.10080875819321676</v>
      </c>
      <c r="R249" s="27">
        <f t="shared" si="59"/>
        <v>109.54836792354209</v>
      </c>
    </row>
    <row r="250" spans="2:18">
      <c r="B250" s="6">
        <v>110.31</v>
      </c>
      <c r="C250" s="6">
        <v>108</v>
      </c>
      <c r="D250" s="7">
        <f t="shared" si="45"/>
        <v>109.155</v>
      </c>
      <c r="E250" s="18">
        <f t="shared" si="46"/>
        <v>102.25</v>
      </c>
      <c r="F250" s="18">
        <f t="shared" si="47"/>
        <v>122.12</v>
      </c>
      <c r="G250" s="19">
        <f t="shared" si="48"/>
        <v>19.870000000000005</v>
      </c>
      <c r="H250" s="21">
        <f t="shared" si="49"/>
        <v>104.5</v>
      </c>
      <c r="I250" s="22">
        <f t="shared" si="50"/>
        <v>112.75</v>
      </c>
      <c r="J250" s="20">
        <f t="shared" si="51"/>
        <v>8.25</v>
      </c>
      <c r="K250" s="14">
        <f t="shared" si="52"/>
        <v>102.25</v>
      </c>
      <c r="L250" s="14">
        <f t="shared" si="53"/>
        <v>122.12</v>
      </c>
      <c r="M250" s="14">
        <f t="shared" si="54"/>
        <v>19.870000000000005</v>
      </c>
      <c r="N250" s="23">
        <f t="shared" si="55"/>
        <v>1.501004721822865</v>
      </c>
      <c r="O250" s="23">
        <f t="shared" si="56"/>
        <v>1.501004721822865</v>
      </c>
      <c r="P250" s="28">
        <f t="shared" si="57"/>
        <v>9.9538377269724684E-2</v>
      </c>
      <c r="Q250" s="28">
        <f t="shared" si="58"/>
        <v>9.9538377269724684E-2</v>
      </c>
      <c r="R250" s="27">
        <f t="shared" si="59"/>
        <v>109.50921271876275</v>
      </c>
    </row>
    <row r="251" spans="2:18">
      <c r="B251" s="6">
        <v>110.44</v>
      </c>
      <c r="C251" s="6">
        <v>108.19</v>
      </c>
      <c r="D251" s="7">
        <f t="shared" si="45"/>
        <v>109.315</v>
      </c>
      <c r="E251" s="18">
        <f t="shared" si="46"/>
        <v>103.37</v>
      </c>
      <c r="F251" s="18">
        <f t="shared" si="47"/>
        <v>122.12</v>
      </c>
      <c r="G251" s="19">
        <f t="shared" si="48"/>
        <v>18.75</v>
      </c>
      <c r="H251" s="21">
        <f t="shared" si="49"/>
        <v>104.5</v>
      </c>
      <c r="I251" s="22">
        <f t="shared" si="50"/>
        <v>111.06</v>
      </c>
      <c r="J251" s="20">
        <f t="shared" si="51"/>
        <v>6.5600000000000023</v>
      </c>
      <c r="K251" s="14">
        <f t="shared" si="52"/>
        <v>103.37</v>
      </c>
      <c r="L251" s="14">
        <f t="shared" si="53"/>
        <v>122.12</v>
      </c>
      <c r="M251" s="14">
        <f t="shared" si="54"/>
        <v>18.75</v>
      </c>
      <c r="N251" s="23">
        <f t="shared" si="55"/>
        <v>1.4328169118400786</v>
      </c>
      <c r="O251" s="23">
        <f t="shared" si="56"/>
        <v>1.4328169118400786</v>
      </c>
      <c r="P251" s="28">
        <f t="shared" si="57"/>
        <v>0.13625930715226153</v>
      </c>
      <c r="Q251" s="28">
        <f t="shared" si="58"/>
        <v>0.13625930715226153</v>
      </c>
      <c r="R251" s="27">
        <f t="shared" si="59"/>
        <v>109.48274942826399</v>
      </c>
    </row>
    <row r="252" spans="2:18">
      <c r="B252" s="6">
        <v>110</v>
      </c>
      <c r="C252" s="6">
        <v>108.12</v>
      </c>
      <c r="D252" s="7">
        <f t="shared" si="45"/>
        <v>109.06</v>
      </c>
      <c r="E252" s="18">
        <f t="shared" si="46"/>
        <v>106.56</v>
      </c>
      <c r="F252" s="18">
        <f t="shared" si="47"/>
        <v>122.12</v>
      </c>
      <c r="G252" s="19">
        <f t="shared" si="48"/>
        <v>15.560000000000002</v>
      </c>
      <c r="H252" s="21">
        <f t="shared" si="49"/>
        <v>104.5</v>
      </c>
      <c r="I252" s="22">
        <f t="shared" si="50"/>
        <v>111.06</v>
      </c>
      <c r="J252" s="20">
        <f t="shared" si="51"/>
        <v>6.5600000000000023</v>
      </c>
      <c r="K252" s="14">
        <f t="shared" si="52"/>
        <v>104.5</v>
      </c>
      <c r="L252" s="14">
        <f t="shared" si="53"/>
        <v>122.12</v>
      </c>
      <c r="M252" s="14">
        <f t="shared" si="54"/>
        <v>17.620000000000005</v>
      </c>
      <c r="N252" s="23">
        <f t="shared" si="55"/>
        <v>1.3281374613142936</v>
      </c>
      <c r="O252" s="23">
        <f t="shared" si="56"/>
        <v>1.3281374613142936</v>
      </c>
      <c r="P252" s="28">
        <f t="shared" si="57"/>
        <v>0.22066074360329244</v>
      </c>
      <c r="Q252" s="28">
        <f t="shared" si="58"/>
        <v>0.22066074360329244</v>
      </c>
      <c r="R252" s="27">
        <f t="shared" si="59"/>
        <v>109.38946522506539</v>
      </c>
    </row>
    <row r="253" spans="2:18">
      <c r="B253" s="6">
        <v>110.75</v>
      </c>
      <c r="C253" s="6">
        <v>109.06</v>
      </c>
      <c r="D253" s="7">
        <f t="shared" si="45"/>
        <v>109.905</v>
      </c>
      <c r="E253" s="18">
        <f t="shared" si="46"/>
        <v>104.5</v>
      </c>
      <c r="F253" s="18">
        <f t="shared" si="47"/>
        <v>122.12</v>
      </c>
      <c r="G253" s="19">
        <f t="shared" si="48"/>
        <v>17.620000000000005</v>
      </c>
      <c r="H253" s="21">
        <f t="shared" si="49"/>
        <v>105.75</v>
      </c>
      <c r="I253" s="22">
        <f t="shared" si="50"/>
        <v>111.06</v>
      </c>
      <c r="J253" s="20">
        <f t="shared" si="51"/>
        <v>5.3100000000000023</v>
      </c>
      <c r="K253" s="14">
        <f t="shared" si="52"/>
        <v>104.5</v>
      </c>
      <c r="L253" s="14">
        <f t="shared" si="53"/>
        <v>122.12</v>
      </c>
      <c r="M253" s="14">
        <f t="shared" si="54"/>
        <v>17.620000000000005</v>
      </c>
      <c r="N253" s="23">
        <f t="shared" si="55"/>
        <v>1.3800224306603799</v>
      </c>
      <c r="O253" s="23">
        <f t="shared" si="56"/>
        <v>1.3800224306603799</v>
      </c>
      <c r="P253" s="28">
        <f t="shared" si="57"/>
        <v>0.17376213283935973</v>
      </c>
      <c r="Q253" s="28">
        <f t="shared" si="58"/>
        <v>0.17376213283935973</v>
      </c>
      <c r="R253" s="27">
        <f t="shared" si="59"/>
        <v>109.47904564711089</v>
      </c>
    </row>
    <row r="254" spans="2:18">
      <c r="B254" s="6">
        <v>110.5</v>
      </c>
      <c r="C254" s="6">
        <v>108.75</v>
      </c>
      <c r="D254" s="7">
        <f t="shared" si="45"/>
        <v>109.625</v>
      </c>
      <c r="E254" s="18">
        <f t="shared" si="46"/>
        <v>104.5</v>
      </c>
      <c r="F254" s="18">
        <f t="shared" si="47"/>
        <v>122.12</v>
      </c>
      <c r="G254" s="19">
        <f t="shared" si="48"/>
        <v>17.620000000000005</v>
      </c>
      <c r="H254" s="21">
        <f t="shared" si="49"/>
        <v>107.75</v>
      </c>
      <c r="I254" s="22">
        <f t="shared" si="50"/>
        <v>111.06</v>
      </c>
      <c r="J254" s="20">
        <f t="shared" si="51"/>
        <v>3.3100000000000023</v>
      </c>
      <c r="K254" s="14">
        <f t="shared" si="52"/>
        <v>104.5</v>
      </c>
      <c r="L254" s="14">
        <f t="shared" si="53"/>
        <v>122.12</v>
      </c>
      <c r="M254" s="14">
        <f t="shared" si="54"/>
        <v>17.620000000000005</v>
      </c>
      <c r="N254" s="23">
        <f t="shared" si="55"/>
        <v>1.2483583873352957</v>
      </c>
      <c r="O254" s="23">
        <f t="shared" si="56"/>
        <v>1.2483583873352957</v>
      </c>
      <c r="P254" s="28">
        <f t="shared" si="57"/>
        <v>0.31862747747490094</v>
      </c>
      <c r="Q254" s="28">
        <f t="shared" si="58"/>
        <v>0.31862747747490094</v>
      </c>
      <c r="R254" s="27">
        <f t="shared" si="59"/>
        <v>109.52555071439843</v>
      </c>
    </row>
    <row r="255" spans="2:18">
      <c r="B255" s="6">
        <v>110.5</v>
      </c>
      <c r="C255" s="6">
        <v>108.56</v>
      </c>
      <c r="D255" s="7">
        <f t="shared" si="45"/>
        <v>109.53</v>
      </c>
      <c r="E255" s="18">
        <f t="shared" si="46"/>
        <v>104.5</v>
      </c>
      <c r="F255" s="18">
        <f t="shared" si="47"/>
        <v>122.12</v>
      </c>
      <c r="G255" s="19">
        <f t="shared" si="48"/>
        <v>17.620000000000005</v>
      </c>
      <c r="H255" s="21">
        <f t="shared" si="49"/>
        <v>107.75</v>
      </c>
      <c r="I255" s="22">
        <f t="shared" si="50"/>
        <v>110.75</v>
      </c>
      <c r="J255" s="20">
        <f t="shared" si="51"/>
        <v>3</v>
      </c>
      <c r="K255" s="14">
        <f t="shared" si="52"/>
        <v>104.5</v>
      </c>
      <c r="L255" s="14">
        <f t="shared" si="53"/>
        <v>122.12</v>
      </c>
      <c r="M255" s="14">
        <f t="shared" si="54"/>
        <v>17.620000000000005</v>
      </c>
      <c r="N255" s="23">
        <f t="shared" si="55"/>
        <v>1.2268304084476946</v>
      </c>
      <c r="O255" s="23">
        <f t="shared" si="56"/>
        <v>1.2268304084476946</v>
      </c>
      <c r="P255" s="28">
        <f t="shared" si="57"/>
        <v>0.35183511576177029</v>
      </c>
      <c r="Q255" s="28">
        <f t="shared" si="58"/>
        <v>0.35183511576177029</v>
      </c>
      <c r="R255" s="27">
        <f t="shared" si="59"/>
        <v>109.52711612931311</v>
      </c>
    </row>
    <row r="256" spans="2:18">
      <c r="B256" s="6">
        <v>109.5</v>
      </c>
      <c r="C256" s="6">
        <v>106.62</v>
      </c>
      <c r="D256" s="7">
        <f t="shared" si="45"/>
        <v>108.06</v>
      </c>
      <c r="E256" s="18">
        <f t="shared" si="46"/>
        <v>104.5</v>
      </c>
      <c r="F256" s="18">
        <f t="shared" si="47"/>
        <v>122.12</v>
      </c>
      <c r="G256" s="19">
        <f t="shared" si="48"/>
        <v>17.620000000000005</v>
      </c>
      <c r="H256" s="21">
        <f t="shared" si="49"/>
        <v>106.62</v>
      </c>
      <c r="I256" s="22">
        <f t="shared" si="50"/>
        <v>110.75</v>
      </c>
      <c r="J256" s="20">
        <f t="shared" si="51"/>
        <v>4.1299999999999955</v>
      </c>
      <c r="K256" s="14">
        <f t="shared" si="52"/>
        <v>104.5</v>
      </c>
      <c r="L256" s="14">
        <f t="shared" si="53"/>
        <v>122.12</v>
      </c>
      <c r="M256" s="14">
        <f t="shared" si="54"/>
        <v>17.620000000000005</v>
      </c>
      <c r="N256" s="23">
        <f t="shared" si="55"/>
        <v>1.303801476703039</v>
      </c>
      <c r="O256" s="23">
        <f t="shared" si="56"/>
        <v>1.303801476703039</v>
      </c>
      <c r="P256" s="28">
        <f t="shared" si="57"/>
        <v>0.24682949040777635</v>
      </c>
      <c r="Q256" s="28">
        <f t="shared" si="58"/>
        <v>0.24682949040777635</v>
      </c>
      <c r="R256" s="27">
        <f t="shared" si="59"/>
        <v>109.16498860274572</v>
      </c>
    </row>
    <row r="257" spans="5:6">
      <c r="E257" s="1"/>
      <c r="F257" s="1"/>
    </row>
    <row r="258" spans="5:6">
      <c r="E258" s="1"/>
      <c r="F258" s="1"/>
    </row>
    <row r="259" spans="5:6">
      <c r="E259" s="1"/>
      <c r="F259" s="1"/>
    </row>
    <row r="260" spans="5:6">
      <c r="E260" s="1"/>
      <c r="F260" s="1"/>
    </row>
    <row r="261" spans="5:6">
      <c r="E261" s="1"/>
      <c r="F261" s="1"/>
    </row>
    <row r="262" spans="5:6">
      <c r="E262" s="1"/>
      <c r="F262" s="1"/>
    </row>
    <row r="263" spans="5:6">
      <c r="E263" s="1"/>
      <c r="F263" s="1"/>
    </row>
    <row r="264" spans="5:6">
      <c r="E264" s="1"/>
      <c r="F264" s="1"/>
    </row>
    <row r="265" spans="5:6">
      <c r="E265" s="1"/>
      <c r="F265" s="1"/>
    </row>
    <row r="266" spans="5:6">
      <c r="E266" s="1"/>
      <c r="F266" s="1"/>
    </row>
    <row r="267" spans="5:6">
      <c r="E267" s="1"/>
      <c r="F267" s="1"/>
    </row>
    <row r="268" spans="5:6">
      <c r="E268" s="1"/>
      <c r="F268" s="1"/>
    </row>
    <row r="269" spans="5:6">
      <c r="E269" s="1"/>
      <c r="F269" s="1"/>
    </row>
    <row r="270" spans="5:6">
      <c r="E270" s="1"/>
      <c r="F270" s="1"/>
    </row>
    <row r="271" spans="5:6">
      <c r="E271" s="1"/>
      <c r="F271" s="1"/>
    </row>
    <row r="272" spans="5:6">
      <c r="E272" s="1"/>
      <c r="F272" s="1"/>
    </row>
    <row r="273" spans="5:6">
      <c r="E273" s="1"/>
      <c r="F273" s="1"/>
    </row>
    <row r="274" spans="5:6">
      <c r="E274" s="1"/>
      <c r="F274" s="1"/>
    </row>
    <row r="275" spans="5:6">
      <c r="E275" s="1"/>
      <c r="F275" s="1"/>
    </row>
    <row r="276" spans="5:6">
      <c r="E276" s="1"/>
      <c r="F276" s="1"/>
    </row>
    <row r="277" spans="5:6">
      <c r="E277" s="1"/>
      <c r="F277" s="1"/>
    </row>
    <row r="278" spans="5:6">
      <c r="E278" s="1"/>
      <c r="F278" s="1"/>
    </row>
    <row r="279" spans="5:6">
      <c r="E279" s="1"/>
      <c r="F279" s="1"/>
    </row>
    <row r="280" spans="5:6">
      <c r="E280" s="1"/>
      <c r="F280" s="1"/>
    </row>
    <row r="281" spans="5:6">
      <c r="E281" s="1"/>
      <c r="F281" s="1"/>
    </row>
    <row r="282" spans="5:6">
      <c r="E282" s="1"/>
      <c r="F282" s="1"/>
    </row>
    <row r="283" spans="5:6">
      <c r="E283" s="1"/>
      <c r="F283" s="1"/>
    </row>
    <row r="284" spans="5:6">
      <c r="E284" s="1"/>
      <c r="F284" s="1"/>
    </row>
    <row r="285" spans="5:6">
      <c r="E285" s="1"/>
      <c r="F285" s="1"/>
    </row>
    <row r="286" spans="5:6">
      <c r="E286" s="1"/>
      <c r="F286" s="1"/>
    </row>
    <row r="287" spans="5:6">
      <c r="E287" s="1"/>
      <c r="F287" s="1"/>
    </row>
    <row r="288" spans="5:6">
      <c r="E288" s="1"/>
      <c r="F288" s="1"/>
    </row>
    <row r="289" spans="5:6">
      <c r="E289" s="1"/>
      <c r="F289" s="1"/>
    </row>
    <row r="290" spans="5:6">
      <c r="E290" s="1"/>
      <c r="F290" s="1"/>
    </row>
    <row r="291" spans="5:6">
      <c r="E291" s="1"/>
      <c r="F291" s="1"/>
    </row>
    <row r="292" spans="5:6">
      <c r="E292" s="1"/>
      <c r="F292" s="1"/>
    </row>
    <row r="293" spans="5:6">
      <c r="E293" s="1"/>
      <c r="F293" s="1"/>
    </row>
    <row r="294" spans="5:6">
      <c r="E294" s="1"/>
      <c r="F294" s="1"/>
    </row>
    <row r="295" spans="5:6">
      <c r="E295" s="1"/>
      <c r="F295" s="1"/>
    </row>
    <row r="296" spans="5:6">
      <c r="E296" s="1"/>
      <c r="F296" s="1"/>
    </row>
    <row r="297" spans="5:6">
      <c r="E297" s="1"/>
      <c r="F297" s="1"/>
    </row>
    <row r="298" spans="5:6">
      <c r="E298" s="1"/>
      <c r="F298" s="1"/>
    </row>
    <row r="299" spans="5:6">
      <c r="E299" s="1"/>
      <c r="F299" s="1"/>
    </row>
    <row r="300" spans="5:6">
      <c r="E300" s="1"/>
      <c r="F300" s="1"/>
    </row>
    <row r="301" spans="5:6">
      <c r="E301" s="1"/>
      <c r="F301" s="1"/>
    </row>
    <row r="302" spans="5:6">
      <c r="E302" s="1"/>
      <c r="F302" s="1"/>
    </row>
    <row r="303" spans="5:6">
      <c r="E303" s="1"/>
      <c r="F303" s="1"/>
    </row>
    <row r="304" spans="5:6">
      <c r="E304" s="1"/>
      <c r="F304" s="1"/>
    </row>
    <row r="305" spans="5:6">
      <c r="E305" s="1"/>
      <c r="F305" s="1"/>
    </row>
    <row r="306" spans="5:6">
      <c r="E306" s="1"/>
      <c r="F306" s="1"/>
    </row>
    <row r="307" spans="5:6">
      <c r="E307" s="1"/>
      <c r="F307" s="1"/>
    </row>
    <row r="308" spans="5:6">
      <c r="E308" s="1"/>
      <c r="F308" s="1"/>
    </row>
    <row r="309" spans="5:6">
      <c r="E309" s="1"/>
      <c r="F309" s="1"/>
    </row>
    <row r="310" spans="5:6">
      <c r="E310" s="1"/>
      <c r="F310" s="1"/>
    </row>
    <row r="311" spans="5:6">
      <c r="E311" s="1"/>
      <c r="F311" s="1"/>
    </row>
    <row r="312" spans="5:6">
      <c r="E312" s="1"/>
      <c r="F312" s="1"/>
    </row>
    <row r="313" spans="5:6">
      <c r="E313" s="1"/>
      <c r="F313" s="1"/>
    </row>
    <row r="314" spans="5:6">
      <c r="E314" s="1"/>
      <c r="F314" s="1"/>
    </row>
    <row r="315" spans="5:6">
      <c r="E315" s="1"/>
      <c r="F315" s="1"/>
    </row>
    <row r="316" spans="5:6">
      <c r="E316" s="1"/>
      <c r="F316" s="1"/>
    </row>
    <row r="317" spans="5:6">
      <c r="E317" s="1"/>
      <c r="F317" s="1"/>
    </row>
    <row r="318" spans="5:6">
      <c r="E318" s="1"/>
      <c r="F318" s="1"/>
    </row>
    <row r="319" spans="5:6">
      <c r="E319" s="1"/>
      <c r="F319" s="1"/>
    </row>
    <row r="320" spans="5:6">
      <c r="E320" s="1"/>
      <c r="F320" s="1"/>
    </row>
    <row r="321" spans="5:6">
      <c r="E321" s="1"/>
      <c r="F321" s="1"/>
    </row>
    <row r="322" spans="5:6">
      <c r="E322" s="1"/>
      <c r="F322" s="1"/>
    </row>
    <row r="323" spans="5:6">
      <c r="E323" s="1"/>
      <c r="F323" s="1"/>
    </row>
    <row r="324" spans="5:6">
      <c r="E324" s="1"/>
      <c r="F324" s="1"/>
    </row>
    <row r="325" spans="5:6">
      <c r="E325" s="1"/>
      <c r="F325" s="1"/>
    </row>
    <row r="326" spans="5:6">
      <c r="E326" s="1"/>
      <c r="F326" s="1"/>
    </row>
    <row r="327" spans="5:6">
      <c r="E327" s="1"/>
      <c r="F327" s="1"/>
    </row>
    <row r="328" spans="5:6">
      <c r="E328" s="1"/>
      <c r="F328" s="1"/>
    </row>
    <row r="329" spans="5:6">
      <c r="E329" s="1"/>
      <c r="F329" s="1"/>
    </row>
    <row r="330" spans="5:6">
      <c r="E330" s="1"/>
      <c r="F330" s="1"/>
    </row>
    <row r="331" spans="5:6">
      <c r="E331" s="1"/>
      <c r="F331" s="1"/>
    </row>
    <row r="332" spans="5:6">
      <c r="E332" s="1"/>
      <c r="F332" s="1"/>
    </row>
    <row r="333" spans="5:6">
      <c r="E333" s="1"/>
      <c r="F333" s="1"/>
    </row>
    <row r="334" spans="5:6">
      <c r="E334" s="1"/>
      <c r="F334" s="1"/>
    </row>
    <row r="335" spans="5:6">
      <c r="E335" s="1"/>
      <c r="F335" s="1"/>
    </row>
    <row r="336" spans="5:6">
      <c r="E336" s="1"/>
      <c r="F336" s="1"/>
    </row>
    <row r="337" spans="5:6">
      <c r="E337" s="1"/>
      <c r="F337" s="1"/>
    </row>
    <row r="338" spans="5:6">
      <c r="E338" s="1"/>
      <c r="F338" s="1"/>
    </row>
    <row r="339" spans="5:6">
      <c r="E339" s="1"/>
      <c r="F339" s="1"/>
    </row>
    <row r="340" spans="5:6">
      <c r="E340" s="1"/>
      <c r="F340" s="1"/>
    </row>
    <row r="341" spans="5:6">
      <c r="E341" s="1"/>
      <c r="F341" s="1"/>
    </row>
    <row r="342" spans="5:6">
      <c r="E342" s="1"/>
      <c r="F342" s="1"/>
    </row>
    <row r="343" spans="5:6">
      <c r="E343" s="1"/>
      <c r="F343" s="1"/>
    </row>
    <row r="344" spans="5:6">
      <c r="E344" s="1"/>
      <c r="F344" s="1"/>
    </row>
    <row r="345" spans="5:6">
      <c r="E345" s="1"/>
      <c r="F345" s="1"/>
    </row>
    <row r="346" spans="5:6">
      <c r="E346" s="1"/>
      <c r="F346" s="1"/>
    </row>
    <row r="347" spans="5:6">
      <c r="E347" s="1"/>
      <c r="F347" s="1"/>
    </row>
    <row r="348" spans="5:6">
      <c r="E348" s="1"/>
      <c r="F348" s="1"/>
    </row>
    <row r="349" spans="5:6">
      <c r="E349" s="1"/>
      <c r="F349" s="1"/>
    </row>
    <row r="350" spans="5:6">
      <c r="E350" s="1"/>
      <c r="F350" s="1"/>
    </row>
    <row r="351" spans="5:6">
      <c r="E351" s="1"/>
      <c r="F351" s="1"/>
    </row>
    <row r="352" spans="5:6">
      <c r="E352" s="1"/>
      <c r="F352" s="1"/>
    </row>
    <row r="353" spans="5:6">
      <c r="E353" s="1"/>
      <c r="F353" s="1"/>
    </row>
    <row r="354" spans="5:6">
      <c r="E354" s="1"/>
      <c r="F354" s="1"/>
    </row>
    <row r="355" spans="5:6">
      <c r="E355" s="1"/>
      <c r="F355" s="1"/>
    </row>
    <row r="356" spans="5:6">
      <c r="E356" s="1"/>
      <c r="F356" s="1"/>
    </row>
    <row r="357" spans="5:6">
      <c r="E357" s="1"/>
      <c r="F357" s="1"/>
    </row>
    <row r="358" spans="5:6">
      <c r="E358" s="1"/>
      <c r="F358" s="1"/>
    </row>
    <row r="359" spans="5:6">
      <c r="E359" s="1"/>
      <c r="F359" s="1"/>
    </row>
    <row r="360" spans="5:6">
      <c r="E360" s="1"/>
      <c r="F360" s="1"/>
    </row>
    <row r="361" spans="5:6">
      <c r="E361" s="1"/>
      <c r="F361" s="1"/>
    </row>
    <row r="362" spans="5:6">
      <c r="E362" s="1"/>
      <c r="F362" s="1"/>
    </row>
    <row r="363" spans="5:6">
      <c r="E363" s="1"/>
      <c r="F363" s="1"/>
    </row>
    <row r="364" spans="5:6">
      <c r="E364" s="1"/>
      <c r="F364" s="1"/>
    </row>
    <row r="365" spans="5:6">
      <c r="E365" s="1"/>
      <c r="F365" s="1"/>
    </row>
    <row r="366" spans="5:6">
      <c r="E366" s="1"/>
      <c r="F366" s="1"/>
    </row>
    <row r="367" spans="5:6">
      <c r="E367" s="1"/>
      <c r="F367" s="1"/>
    </row>
    <row r="368" spans="5:6">
      <c r="E368" s="1"/>
      <c r="F368" s="1"/>
    </row>
    <row r="369" spans="5:6">
      <c r="E369" s="1"/>
      <c r="F369" s="1"/>
    </row>
    <row r="370" spans="5:6">
      <c r="E370" s="1"/>
      <c r="F370" s="1"/>
    </row>
    <row r="371" spans="5:6">
      <c r="E371" s="1"/>
      <c r="F371" s="1"/>
    </row>
    <row r="372" spans="5:6">
      <c r="E372" s="1"/>
      <c r="F372" s="1"/>
    </row>
    <row r="373" spans="5:6">
      <c r="E373" s="1"/>
      <c r="F373" s="1"/>
    </row>
    <row r="374" spans="5:6">
      <c r="E374" s="1"/>
      <c r="F374" s="1"/>
    </row>
    <row r="375" spans="5:6">
      <c r="E375" s="1"/>
      <c r="F375" s="1"/>
    </row>
    <row r="376" spans="5:6">
      <c r="E376" s="1"/>
      <c r="F376" s="1"/>
    </row>
    <row r="377" spans="5:6">
      <c r="E377" s="1"/>
      <c r="F377" s="1"/>
    </row>
    <row r="378" spans="5:6">
      <c r="E378" s="1"/>
      <c r="F378" s="1"/>
    </row>
    <row r="379" spans="5:6">
      <c r="E379" s="1"/>
      <c r="F379" s="1"/>
    </row>
    <row r="380" spans="5:6">
      <c r="E380" s="1"/>
      <c r="F380" s="1"/>
    </row>
    <row r="381" spans="5:6">
      <c r="E381" s="1"/>
      <c r="F381" s="1"/>
    </row>
    <row r="382" spans="5:6">
      <c r="E382" s="1"/>
      <c r="F382" s="1"/>
    </row>
    <row r="383" spans="5:6">
      <c r="E383" s="1"/>
      <c r="F383" s="1"/>
    </row>
    <row r="384" spans="5:6">
      <c r="E384" s="1"/>
      <c r="F384" s="1"/>
    </row>
    <row r="385" spans="5:6">
      <c r="E385" s="1"/>
      <c r="F385" s="1"/>
    </row>
    <row r="386" spans="5:6">
      <c r="E386" s="1"/>
      <c r="F386" s="1"/>
    </row>
    <row r="387" spans="5:6">
      <c r="E387" s="1"/>
      <c r="F387" s="1"/>
    </row>
    <row r="388" spans="5:6">
      <c r="E388" s="1"/>
      <c r="F388" s="1"/>
    </row>
    <row r="389" spans="5:6">
      <c r="E389" s="1"/>
      <c r="F389" s="1"/>
    </row>
    <row r="390" spans="5:6">
      <c r="E390" s="1"/>
      <c r="F390" s="1"/>
    </row>
    <row r="391" spans="5:6">
      <c r="E391" s="1"/>
      <c r="F391" s="1"/>
    </row>
    <row r="392" spans="5:6">
      <c r="E392" s="1"/>
      <c r="F392" s="1"/>
    </row>
    <row r="393" spans="5:6">
      <c r="E393" s="1"/>
      <c r="F393" s="1"/>
    </row>
    <row r="394" spans="5:6">
      <c r="E394" s="1"/>
      <c r="F394" s="1"/>
    </row>
    <row r="395" spans="5:6">
      <c r="E395" s="1"/>
      <c r="F395" s="1"/>
    </row>
    <row r="396" spans="5:6">
      <c r="E396" s="1"/>
      <c r="F396" s="1"/>
    </row>
    <row r="397" spans="5:6">
      <c r="E397" s="1"/>
      <c r="F397" s="1"/>
    </row>
    <row r="398" spans="5:6">
      <c r="E398" s="1"/>
      <c r="F398" s="1"/>
    </row>
    <row r="399" spans="5:6">
      <c r="E399" s="1"/>
      <c r="F399" s="1"/>
    </row>
    <row r="400" spans="5:6">
      <c r="E400" s="1"/>
      <c r="F400" s="1"/>
    </row>
    <row r="401" spans="5:6">
      <c r="E401" s="1"/>
      <c r="F401" s="1"/>
    </row>
    <row r="402" spans="5:6">
      <c r="E402" s="1"/>
      <c r="F402" s="1"/>
    </row>
    <row r="403" spans="5:6">
      <c r="E403" s="1"/>
      <c r="F403" s="1"/>
    </row>
    <row r="404" spans="5:6">
      <c r="E404" s="1"/>
      <c r="F404" s="1"/>
    </row>
    <row r="405" spans="5:6">
      <c r="E405" s="1"/>
      <c r="F405" s="1"/>
    </row>
    <row r="406" spans="5:6">
      <c r="E406" s="1"/>
      <c r="F406" s="1"/>
    </row>
    <row r="407" spans="5:6">
      <c r="E407" s="1"/>
      <c r="F407" s="1"/>
    </row>
    <row r="408" spans="5:6">
      <c r="E408" s="1"/>
      <c r="F408" s="1"/>
    </row>
    <row r="409" spans="5:6">
      <c r="E409" s="1"/>
      <c r="F409" s="1"/>
    </row>
    <row r="410" spans="5:6">
      <c r="E410" s="1"/>
      <c r="F410" s="1"/>
    </row>
    <row r="411" spans="5:6">
      <c r="E411" s="1"/>
      <c r="F411" s="1"/>
    </row>
    <row r="412" spans="5:6">
      <c r="E412" s="1"/>
      <c r="F412" s="1"/>
    </row>
    <row r="413" spans="5:6">
      <c r="E413" s="1"/>
      <c r="F413" s="1"/>
    </row>
    <row r="414" spans="5:6">
      <c r="E414" s="1"/>
      <c r="F414" s="1"/>
    </row>
    <row r="415" spans="5:6">
      <c r="E415" s="1"/>
      <c r="F415" s="1"/>
    </row>
    <row r="416" spans="5:6">
      <c r="E416" s="1"/>
      <c r="F416" s="1"/>
    </row>
    <row r="417" spans="5:6">
      <c r="E417" s="1"/>
      <c r="F417" s="1"/>
    </row>
    <row r="418" spans="5:6">
      <c r="E418" s="1"/>
      <c r="F418" s="1"/>
    </row>
    <row r="419" spans="5:6">
      <c r="E419" s="1"/>
      <c r="F419" s="1"/>
    </row>
    <row r="420" spans="5:6">
      <c r="E420" s="1"/>
      <c r="F420" s="1"/>
    </row>
    <row r="421" spans="5:6">
      <c r="E421" s="1"/>
      <c r="F421" s="1"/>
    </row>
    <row r="422" spans="5:6">
      <c r="E422" s="1"/>
      <c r="F422" s="1"/>
    </row>
    <row r="423" spans="5:6">
      <c r="E423" s="1"/>
      <c r="F423" s="1"/>
    </row>
    <row r="424" spans="5:6">
      <c r="E424" s="1"/>
      <c r="F424" s="1"/>
    </row>
    <row r="425" spans="5:6">
      <c r="E425" s="1"/>
      <c r="F425" s="1"/>
    </row>
    <row r="426" spans="5:6">
      <c r="E426" s="1"/>
      <c r="F426" s="1"/>
    </row>
    <row r="427" spans="5:6">
      <c r="E427" s="1"/>
      <c r="F427" s="1"/>
    </row>
    <row r="428" spans="5:6">
      <c r="E428" s="1"/>
      <c r="F428" s="1"/>
    </row>
    <row r="429" spans="5:6">
      <c r="E429" s="1"/>
      <c r="F429" s="1"/>
    </row>
    <row r="430" spans="5:6">
      <c r="E430" s="1"/>
      <c r="F430" s="1"/>
    </row>
    <row r="431" spans="5:6">
      <c r="E431" s="1"/>
      <c r="F431" s="1"/>
    </row>
    <row r="432" spans="5:6">
      <c r="E432" s="1"/>
      <c r="F432" s="1"/>
    </row>
    <row r="433" spans="5:6">
      <c r="E433" s="1"/>
      <c r="F433" s="1"/>
    </row>
    <row r="434" spans="5:6">
      <c r="E434" s="1"/>
      <c r="F434" s="1"/>
    </row>
    <row r="435" spans="5:6">
      <c r="E435" s="1"/>
      <c r="F435" s="1"/>
    </row>
    <row r="436" spans="5:6">
      <c r="E436" s="1"/>
      <c r="F436" s="1"/>
    </row>
    <row r="437" spans="5:6">
      <c r="E437" s="1"/>
      <c r="F437" s="1"/>
    </row>
    <row r="438" spans="5:6">
      <c r="E438" s="1"/>
      <c r="F438" s="1"/>
    </row>
    <row r="439" spans="5:6">
      <c r="E439" s="1"/>
      <c r="F439" s="1"/>
    </row>
    <row r="440" spans="5:6">
      <c r="E440" s="1"/>
      <c r="F440" s="1"/>
    </row>
    <row r="441" spans="5:6">
      <c r="E441" s="1"/>
      <c r="F441" s="1"/>
    </row>
    <row r="442" spans="5:6">
      <c r="E442" s="1"/>
      <c r="F442" s="1"/>
    </row>
    <row r="443" spans="5:6">
      <c r="E443" s="1"/>
      <c r="F443" s="1"/>
    </row>
    <row r="444" spans="5:6">
      <c r="E444" s="1"/>
      <c r="F444" s="1"/>
    </row>
    <row r="445" spans="5:6">
      <c r="E445" s="1"/>
      <c r="F445" s="1"/>
    </row>
    <row r="446" spans="5:6">
      <c r="E446" s="1"/>
      <c r="F446" s="1"/>
    </row>
    <row r="447" spans="5:6">
      <c r="E447" s="1"/>
      <c r="F447" s="1"/>
    </row>
    <row r="448" spans="5:6">
      <c r="E448" s="1"/>
      <c r="F448" s="1"/>
    </row>
    <row r="449" spans="5:6">
      <c r="E449" s="1"/>
      <c r="F449" s="1"/>
    </row>
    <row r="450" spans="5:6">
      <c r="E450" s="1"/>
      <c r="F450" s="1"/>
    </row>
    <row r="451" spans="5:6">
      <c r="E451" s="1"/>
      <c r="F451" s="1"/>
    </row>
    <row r="452" spans="5:6">
      <c r="E452" s="1"/>
      <c r="F452" s="1"/>
    </row>
    <row r="453" spans="5:6">
      <c r="E453" s="1"/>
      <c r="F453" s="1"/>
    </row>
    <row r="454" spans="5:6">
      <c r="E454" s="1"/>
      <c r="F454" s="1"/>
    </row>
    <row r="455" spans="5:6">
      <c r="E455" s="1"/>
      <c r="F455" s="1"/>
    </row>
    <row r="456" spans="5:6">
      <c r="E456" s="1"/>
      <c r="F456" s="1"/>
    </row>
    <row r="457" spans="5:6">
      <c r="E457" s="1"/>
      <c r="F457" s="1"/>
    </row>
    <row r="458" spans="5:6">
      <c r="E458" s="1"/>
      <c r="F458" s="1"/>
    </row>
    <row r="459" spans="5:6">
      <c r="E459" s="1"/>
      <c r="F459" s="1"/>
    </row>
    <row r="460" spans="5:6">
      <c r="E460" s="1"/>
      <c r="F460" s="1"/>
    </row>
    <row r="461" spans="5:6">
      <c r="E461" s="1"/>
      <c r="F461" s="1"/>
    </row>
    <row r="462" spans="5:6">
      <c r="E462" s="1"/>
      <c r="F462" s="1"/>
    </row>
    <row r="463" spans="5:6">
      <c r="E463" s="1"/>
      <c r="F463" s="1"/>
    </row>
    <row r="464" spans="5:6">
      <c r="E464" s="1"/>
      <c r="F464" s="1"/>
    </row>
    <row r="465" spans="5:6">
      <c r="E465" s="1"/>
      <c r="F465" s="1"/>
    </row>
    <row r="466" spans="5:6">
      <c r="E466" s="1"/>
      <c r="F466" s="1"/>
    </row>
    <row r="467" spans="5:6">
      <c r="E467" s="1"/>
      <c r="F467" s="1"/>
    </row>
    <row r="468" spans="5:6">
      <c r="E468" s="1"/>
      <c r="F468" s="1"/>
    </row>
    <row r="469" spans="5:6">
      <c r="E469" s="1"/>
      <c r="F469" s="1"/>
    </row>
    <row r="470" spans="5:6">
      <c r="E470" s="1"/>
      <c r="F470" s="1"/>
    </row>
    <row r="471" spans="5:6">
      <c r="E471" s="1"/>
      <c r="F471" s="1"/>
    </row>
    <row r="472" spans="5:6">
      <c r="E472" s="1"/>
      <c r="F472" s="1"/>
    </row>
    <row r="473" spans="5:6">
      <c r="E473" s="1"/>
      <c r="F473" s="1"/>
    </row>
    <row r="474" spans="5:6">
      <c r="E474" s="1"/>
      <c r="F474" s="1"/>
    </row>
    <row r="475" spans="5:6">
      <c r="E475" s="1"/>
      <c r="F475" s="1"/>
    </row>
    <row r="476" spans="5:6">
      <c r="E476" s="1"/>
      <c r="F476" s="1"/>
    </row>
    <row r="477" spans="5:6">
      <c r="E477" s="1"/>
      <c r="F477" s="1"/>
    </row>
    <row r="478" spans="5:6">
      <c r="E478" s="1"/>
      <c r="F478" s="1"/>
    </row>
    <row r="479" spans="5:6">
      <c r="E479" s="1"/>
      <c r="F479" s="1"/>
    </row>
    <row r="480" spans="5:6">
      <c r="E480" s="1"/>
      <c r="F480" s="1"/>
    </row>
    <row r="481" spans="5:6">
      <c r="E481" s="1"/>
      <c r="F481" s="1"/>
    </row>
    <row r="482" spans="5:6">
      <c r="E482" s="1"/>
      <c r="F482" s="1"/>
    </row>
    <row r="483" spans="5:6">
      <c r="E483" s="1"/>
      <c r="F483" s="1"/>
    </row>
    <row r="484" spans="5:6">
      <c r="E484" s="1"/>
      <c r="F484" s="1"/>
    </row>
    <row r="485" spans="5:6">
      <c r="E485" s="1"/>
      <c r="F485" s="1"/>
    </row>
    <row r="486" spans="5:6">
      <c r="E486" s="1"/>
      <c r="F486" s="1"/>
    </row>
    <row r="487" spans="5:6">
      <c r="E487" s="1"/>
      <c r="F487" s="1"/>
    </row>
    <row r="488" spans="5:6">
      <c r="E488" s="1"/>
      <c r="F488" s="1"/>
    </row>
    <row r="489" spans="5:6">
      <c r="E489" s="1"/>
      <c r="F489" s="1"/>
    </row>
    <row r="490" spans="5:6">
      <c r="E490" s="1"/>
      <c r="F490" s="1"/>
    </row>
    <row r="491" spans="5:6">
      <c r="E491" s="1"/>
      <c r="F491" s="1"/>
    </row>
    <row r="492" spans="5:6">
      <c r="E492" s="1"/>
      <c r="F492" s="1"/>
    </row>
    <row r="493" spans="5:6">
      <c r="E493" s="1"/>
      <c r="F493" s="1"/>
    </row>
    <row r="494" spans="5:6">
      <c r="E494" s="1"/>
      <c r="F494" s="1"/>
    </row>
    <row r="495" spans="5:6">
      <c r="E495" s="1"/>
      <c r="F495" s="1"/>
    </row>
    <row r="496" spans="5:6">
      <c r="E496" s="1"/>
      <c r="F496" s="1"/>
    </row>
    <row r="497" spans="4:6">
      <c r="E497" s="1"/>
      <c r="F497" s="1"/>
    </row>
    <row r="498" spans="4:6">
      <c r="E498" s="1"/>
      <c r="F498" s="1"/>
    </row>
    <row r="499" spans="4:6">
      <c r="E499" s="1"/>
      <c r="F499" s="1"/>
    </row>
    <row r="500" spans="4:6">
      <c r="E500" s="1"/>
      <c r="F500" s="1"/>
    </row>
    <row r="501" spans="4:6">
      <c r="E501" s="1"/>
      <c r="F501" s="1"/>
    </row>
    <row r="502" spans="4:6">
      <c r="E502" s="1"/>
      <c r="F502" s="1"/>
    </row>
    <row r="503" spans="4:6">
      <c r="E503" s="1"/>
      <c r="F503" s="1"/>
    </row>
    <row r="504" spans="4:6">
      <c r="E504" s="1"/>
      <c r="F504" s="1"/>
    </row>
    <row r="505" spans="4:6">
      <c r="E505" s="1"/>
      <c r="F505" s="1"/>
    </row>
    <row r="506" spans="4:6">
      <c r="E506" s="1"/>
      <c r="F506" s="1"/>
    </row>
    <row r="507" spans="4:6">
      <c r="E507" s="1"/>
      <c r="F507" s="1"/>
    </row>
    <row r="508" spans="4:6">
      <c r="E508" s="1"/>
      <c r="F508" s="1"/>
    </row>
    <row r="509" spans="4:6">
      <c r="E509" s="1"/>
      <c r="F509" s="1"/>
    </row>
    <row r="510" spans="4:6">
      <c r="E510" s="1"/>
      <c r="F510" s="1"/>
    </row>
    <row r="511" spans="4:6">
      <c r="D511"/>
    </row>
    <row r="512" spans="4:6">
      <c r="D512"/>
    </row>
    <row r="513" spans="4:4">
      <c r="D513"/>
    </row>
    <row r="514" spans="4:4">
      <c r="D514"/>
    </row>
    <row r="515" spans="4:4">
      <c r="D515"/>
    </row>
    <row r="516" spans="4:4">
      <c r="D516"/>
    </row>
    <row r="517" spans="4:4">
      <c r="D517"/>
    </row>
    <row r="518" spans="4:4">
      <c r="D518"/>
    </row>
    <row r="519" spans="4:4">
      <c r="D519"/>
    </row>
    <row r="520" spans="4:4">
      <c r="D520"/>
    </row>
    <row r="521" spans="4:4">
      <c r="D521"/>
    </row>
    <row r="522" spans="4:4">
      <c r="D522"/>
    </row>
    <row r="523" spans="4:4">
      <c r="D523"/>
    </row>
    <row r="524" spans="4:4">
      <c r="D524"/>
    </row>
    <row r="525" spans="4:4">
      <c r="D525"/>
    </row>
    <row r="526" spans="4:4">
      <c r="D526"/>
    </row>
    <row r="527" spans="4:4">
      <c r="D527"/>
    </row>
    <row r="528" spans="4:4">
      <c r="D528"/>
    </row>
    <row r="529" spans="4:4">
      <c r="D529"/>
    </row>
    <row r="530" spans="4:4">
      <c r="D530"/>
    </row>
    <row r="531" spans="4:4">
      <c r="D531"/>
    </row>
    <row r="532" spans="4:4">
      <c r="D532"/>
    </row>
    <row r="533" spans="4:4">
      <c r="D533"/>
    </row>
    <row r="534" spans="4:4">
      <c r="D534"/>
    </row>
    <row r="535" spans="4:4">
      <c r="D535"/>
    </row>
    <row r="536" spans="4:4">
      <c r="D536"/>
    </row>
    <row r="537" spans="4:4">
      <c r="D537"/>
    </row>
    <row r="538" spans="4:4">
      <c r="D538"/>
    </row>
    <row r="539" spans="4:4">
      <c r="D539"/>
    </row>
    <row r="540" spans="4:4">
      <c r="D540"/>
    </row>
    <row r="541" spans="4:4">
      <c r="D541"/>
    </row>
    <row r="542" spans="4:4">
      <c r="D542"/>
    </row>
    <row r="543" spans="4:4">
      <c r="D543"/>
    </row>
    <row r="544" spans="4:4">
      <c r="D544"/>
    </row>
    <row r="545" spans="4:4">
      <c r="D545"/>
    </row>
    <row r="546" spans="4:4">
      <c r="D546"/>
    </row>
    <row r="547" spans="4:4">
      <c r="D547"/>
    </row>
    <row r="548" spans="4:4">
      <c r="D548"/>
    </row>
    <row r="549" spans="4:4">
      <c r="D549"/>
    </row>
    <row r="550" spans="4:4">
      <c r="D550"/>
    </row>
    <row r="551" spans="4:4">
      <c r="D551"/>
    </row>
    <row r="552" spans="4:4">
      <c r="D552"/>
    </row>
    <row r="553" spans="4:4">
      <c r="D553"/>
    </row>
    <row r="554" spans="4:4">
      <c r="D554"/>
    </row>
    <row r="555" spans="4:4">
      <c r="D555"/>
    </row>
    <row r="556" spans="4:4">
      <c r="D556"/>
    </row>
    <row r="557" spans="4:4">
      <c r="D557"/>
    </row>
    <row r="558" spans="4:4">
      <c r="D558"/>
    </row>
    <row r="559" spans="4:4">
      <c r="D559"/>
    </row>
    <row r="560" spans="4:4">
      <c r="D560"/>
    </row>
    <row r="561" spans="4:4">
      <c r="D561"/>
    </row>
    <row r="562" spans="4:4">
      <c r="D562"/>
    </row>
    <row r="563" spans="4:4">
      <c r="D563"/>
    </row>
    <row r="564" spans="4:4">
      <c r="D564"/>
    </row>
    <row r="565" spans="4:4">
      <c r="D565"/>
    </row>
    <row r="566" spans="4:4">
      <c r="D566"/>
    </row>
    <row r="567" spans="4:4">
      <c r="D567"/>
    </row>
    <row r="568" spans="4:4">
      <c r="D568"/>
    </row>
    <row r="569" spans="4:4">
      <c r="D569"/>
    </row>
    <row r="570" spans="4:4">
      <c r="D570"/>
    </row>
    <row r="571" spans="4:4">
      <c r="D571"/>
    </row>
    <row r="572" spans="4:4">
      <c r="D572"/>
    </row>
    <row r="573" spans="4:4">
      <c r="D573"/>
    </row>
    <row r="574" spans="4:4">
      <c r="D574"/>
    </row>
    <row r="575" spans="4:4">
      <c r="D575"/>
    </row>
    <row r="576" spans="4:4">
      <c r="D576"/>
    </row>
    <row r="577" spans="4:4">
      <c r="D577"/>
    </row>
    <row r="578" spans="4:4">
      <c r="D578"/>
    </row>
    <row r="579" spans="4:4">
      <c r="D579"/>
    </row>
    <row r="580" spans="4:4">
      <c r="D580"/>
    </row>
    <row r="581" spans="4:4">
      <c r="D581"/>
    </row>
    <row r="582" spans="4:4">
      <c r="D582"/>
    </row>
    <row r="583" spans="4:4">
      <c r="D583"/>
    </row>
    <row r="584" spans="4:4">
      <c r="D584"/>
    </row>
    <row r="585" spans="4:4">
      <c r="D585"/>
    </row>
    <row r="586" spans="4:4">
      <c r="D586"/>
    </row>
    <row r="587" spans="4:4">
      <c r="D587"/>
    </row>
    <row r="588" spans="4:4">
      <c r="D588"/>
    </row>
    <row r="589" spans="4:4">
      <c r="D589"/>
    </row>
    <row r="590" spans="4:4">
      <c r="D590"/>
    </row>
    <row r="591" spans="4:4">
      <c r="D591"/>
    </row>
    <row r="592" spans="4:4">
      <c r="D592"/>
    </row>
    <row r="593" spans="4:4">
      <c r="D593"/>
    </row>
    <row r="594" spans="4:4">
      <c r="D594"/>
    </row>
    <row r="595" spans="4:4">
      <c r="D595"/>
    </row>
    <row r="596" spans="4:4">
      <c r="D596"/>
    </row>
    <row r="597" spans="4:4">
      <c r="D597"/>
    </row>
    <row r="598" spans="4:4">
      <c r="D598"/>
    </row>
    <row r="599" spans="4:4">
      <c r="D599"/>
    </row>
    <row r="600" spans="4:4">
      <c r="D600"/>
    </row>
    <row r="601" spans="4:4">
      <c r="D601"/>
    </row>
    <row r="602" spans="4:4">
      <c r="D602"/>
    </row>
    <row r="603" spans="4:4">
      <c r="D603"/>
    </row>
    <row r="604" spans="4:4">
      <c r="D604"/>
    </row>
    <row r="605" spans="4:4">
      <c r="D605"/>
    </row>
    <row r="606" spans="4:4">
      <c r="D606"/>
    </row>
    <row r="607" spans="4:4">
      <c r="D607"/>
    </row>
    <row r="608" spans="4:4">
      <c r="D608"/>
    </row>
    <row r="609" spans="4:4">
      <c r="D609"/>
    </row>
    <row r="610" spans="4:4">
      <c r="D610"/>
    </row>
    <row r="611" spans="4:4">
      <c r="D611"/>
    </row>
    <row r="612" spans="4:4">
      <c r="D612"/>
    </row>
    <row r="613" spans="4:4">
      <c r="D613"/>
    </row>
    <row r="614" spans="4:4">
      <c r="D614"/>
    </row>
    <row r="615" spans="4:4">
      <c r="D615"/>
    </row>
    <row r="616" spans="4:4">
      <c r="D616"/>
    </row>
    <row r="617" spans="4:4">
      <c r="D617"/>
    </row>
    <row r="618" spans="4:4">
      <c r="D618"/>
    </row>
    <row r="619" spans="4:4">
      <c r="D619"/>
    </row>
    <row r="620" spans="4:4">
      <c r="D620"/>
    </row>
    <row r="621" spans="4:4">
      <c r="D621"/>
    </row>
    <row r="622" spans="4:4">
      <c r="D622"/>
    </row>
    <row r="623" spans="4:4">
      <c r="D623"/>
    </row>
    <row r="624" spans="4:4">
      <c r="D624"/>
    </row>
    <row r="625" spans="4:4">
      <c r="D625"/>
    </row>
    <row r="626" spans="4:4">
      <c r="D626"/>
    </row>
    <row r="627" spans="4:4">
      <c r="D627"/>
    </row>
    <row r="628" spans="4:4">
      <c r="D628"/>
    </row>
    <row r="629" spans="4:4">
      <c r="D629"/>
    </row>
    <row r="630" spans="4:4">
      <c r="D630"/>
    </row>
    <row r="631" spans="4:4">
      <c r="D631"/>
    </row>
    <row r="632" spans="4:4">
      <c r="D632"/>
    </row>
    <row r="633" spans="4:4">
      <c r="D633"/>
    </row>
    <row r="634" spans="4:4">
      <c r="D634"/>
    </row>
    <row r="635" spans="4:4">
      <c r="D635"/>
    </row>
    <row r="636" spans="4:4">
      <c r="D636"/>
    </row>
    <row r="637" spans="4:4">
      <c r="D637"/>
    </row>
    <row r="638" spans="4:4">
      <c r="D638"/>
    </row>
    <row r="639" spans="4:4">
      <c r="D639"/>
    </row>
    <row r="640" spans="4:4">
      <c r="D640"/>
    </row>
    <row r="641" spans="4:4">
      <c r="D641"/>
    </row>
    <row r="642" spans="4:4">
      <c r="D642"/>
    </row>
    <row r="643" spans="4:4">
      <c r="D643"/>
    </row>
    <row r="644" spans="4:4">
      <c r="D644"/>
    </row>
    <row r="645" spans="4:4">
      <c r="D645"/>
    </row>
    <row r="646" spans="4:4">
      <c r="D646"/>
    </row>
    <row r="647" spans="4:4">
      <c r="D647"/>
    </row>
    <row r="648" spans="4:4">
      <c r="D648"/>
    </row>
    <row r="649" spans="4:4">
      <c r="D649"/>
    </row>
    <row r="650" spans="4:4">
      <c r="D650"/>
    </row>
    <row r="651" spans="4:4">
      <c r="D651"/>
    </row>
    <row r="652" spans="4:4">
      <c r="D652"/>
    </row>
    <row r="653" spans="4:4">
      <c r="D653"/>
    </row>
    <row r="654" spans="4:4">
      <c r="D654"/>
    </row>
    <row r="655" spans="4:4">
      <c r="D655"/>
    </row>
    <row r="656" spans="4:4">
      <c r="D656"/>
    </row>
    <row r="657" spans="4:4">
      <c r="D657"/>
    </row>
    <row r="658" spans="4:4">
      <c r="D658"/>
    </row>
    <row r="659" spans="4:4">
      <c r="D659"/>
    </row>
    <row r="660" spans="4:4">
      <c r="D660"/>
    </row>
    <row r="661" spans="4:4">
      <c r="D661"/>
    </row>
    <row r="662" spans="4:4">
      <c r="D662"/>
    </row>
    <row r="663" spans="4:4">
      <c r="D663"/>
    </row>
    <row r="664" spans="4:4">
      <c r="D664"/>
    </row>
    <row r="665" spans="4:4">
      <c r="D665"/>
    </row>
    <row r="666" spans="4:4">
      <c r="D666"/>
    </row>
    <row r="667" spans="4:4">
      <c r="D667"/>
    </row>
    <row r="668" spans="4:4">
      <c r="D668"/>
    </row>
    <row r="669" spans="4:4">
      <c r="D669"/>
    </row>
    <row r="670" spans="4:4">
      <c r="D670"/>
    </row>
    <row r="671" spans="4:4">
      <c r="D671"/>
    </row>
    <row r="672" spans="4:4">
      <c r="D672"/>
    </row>
    <row r="673" spans="4:4">
      <c r="D673"/>
    </row>
    <row r="674" spans="4:4">
      <c r="D674"/>
    </row>
    <row r="675" spans="4:4">
      <c r="D675"/>
    </row>
    <row r="676" spans="4:4">
      <c r="D676"/>
    </row>
    <row r="677" spans="4:4">
      <c r="D677"/>
    </row>
    <row r="678" spans="4:4">
      <c r="D678"/>
    </row>
    <row r="679" spans="4:4">
      <c r="D679"/>
    </row>
    <row r="680" spans="4:4">
      <c r="D680"/>
    </row>
    <row r="681" spans="4:4">
      <c r="D681"/>
    </row>
    <row r="682" spans="4:4">
      <c r="D682"/>
    </row>
    <row r="683" spans="4:4">
      <c r="D683"/>
    </row>
    <row r="684" spans="4:4">
      <c r="D684"/>
    </row>
    <row r="685" spans="4:4">
      <c r="D685"/>
    </row>
    <row r="686" spans="4:4">
      <c r="D686"/>
    </row>
    <row r="687" spans="4:4">
      <c r="D687"/>
    </row>
    <row r="688" spans="4:4">
      <c r="D688"/>
    </row>
    <row r="689" spans="4:4">
      <c r="D689"/>
    </row>
    <row r="690" spans="4:4">
      <c r="D690"/>
    </row>
    <row r="691" spans="4:4">
      <c r="D691"/>
    </row>
    <row r="692" spans="4:4">
      <c r="D692"/>
    </row>
    <row r="693" spans="4:4">
      <c r="D693"/>
    </row>
    <row r="694" spans="4:4">
      <c r="D694"/>
    </row>
    <row r="695" spans="4:4">
      <c r="D695"/>
    </row>
    <row r="696" spans="4:4">
      <c r="D696"/>
    </row>
    <row r="697" spans="4:4">
      <c r="D697"/>
    </row>
    <row r="698" spans="4:4">
      <c r="D698"/>
    </row>
    <row r="699" spans="4:4">
      <c r="D699"/>
    </row>
    <row r="700" spans="4:4">
      <c r="D700"/>
    </row>
    <row r="701" spans="4:4">
      <c r="D701"/>
    </row>
    <row r="702" spans="4:4">
      <c r="D702"/>
    </row>
    <row r="703" spans="4:4">
      <c r="D703"/>
    </row>
    <row r="704" spans="4:4">
      <c r="D704"/>
    </row>
    <row r="705" spans="4:4">
      <c r="D705"/>
    </row>
    <row r="706" spans="4:4">
      <c r="D706"/>
    </row>
    <row r="707" spans="4:4">
      <c r="D707"/>
    </row>
    <row r="708" spans="4:4">
      <c r="D708"/>
    </row>
    <row r="709" spans="4:4">
      <c r="D709"/>
    </row>
    <row r="710" spans="4:4">
      <c r="D710"/>
    </row>
    <row r="711" spans="4:4">
      <c r="D711"/>
    </row>
    <row r="712" spans="4:4">
      <c r="D712"/>
    </row>
    <row r="713" spans="4:4">
      <c r="D713"/>
    </row>
    <row r="714" spans="4:4">
      <c r="D714"/>
    </row>
    <row r="715" spans="4:4">
      <c r="D715"/>
    </row>
    <row r="716" spans="4:4">
      <c r="D716"/>
    </row>
    <row r="717" spans="4:4">
      <c r="D717"/>
    </row>
    <row r="718" spans="4:4">
      <c r="D718"/>
    </row>
    <row r="719" spans="4:4">
      <c r="D719"/>
    </row>
    <row r="720" spans="4:4">
      <c r="D720"/>
    </row>
    <row r="721" spans="4:4">
      <c r="D721"/>
    </row>
    <row r="722" spans="4:4">
      <c r="D722"/>
    </row>
    <row r="723" spans="4:4">
      <c r="D723"/>
    </row>
    <row r="724" spans="4:4">
      <c r="D724"/>
    </row>
    <row r="725" spans="4:4">
      <c r="D725"/>
    </row>
    <row r="726" spans="4:4">
      <c r="D726"/>
    </row>
    <row r="727" spans="4:4">
      <c r="D727"/>
    </row>
    <row r="728" spans="4:4">
      <c r="D728"/>
    </row>
    <row r="729" spans="4:4">
      <c r="D729"/>
    </row>
    <row r="730" spans="4:4">
      <c r="D730"/>
    </row>
    <row r="731" spans="4:4">
      <c r="D731"/>
    </row>
    <row r="732" spans="4:4">
      <c r="D732"/>
    </row>
    <row r="733" spans="4:4">
      <c r="D733"/>
    </row>
    <row r="734" spans="4:4">
      <c r="D734"/>
    </row>
    <row r="735" spans="4:4">
      <c r="D735"/>
    </row>
    <row r="736" spans="4:4">
      <c r="D736"/>
    </row>
    <row r="737" spans="4:4">
      <c r="D737"/>
    </row>
    <row r="738" spans="4:4">
      <c r="D738"/>
    </row>
    <row r="739" spans="4:4">
      <c r="D739"/>
    </row>
    <row r="740" spans="4:4">
      <c r="D740"/>
    </row>
    <row r="741" spans="4:4">
      <c r="D741"/>
    </row>
    <row r="742" spans="4:4">
      <c r="D742"/>
    </row>
    <row r="743" spans="4:4">
      <c r="D743"/>
    </row>
    <row r="744" spans="4:4">
      <c r="D744"/>
    </row>
    <row r="745" spans="4:4">
      <c r="D745"/>
    </row>
    <row r="746" spans="4:4">
      <c r="D746"/>
    </row>
    <row r="747" spans="4:4">
      <c r="D747"/>
    </row>
    <row r="748" spans="4:4">
      <c r="D748"/>
    </row>
    <row r="749" spans="4:4">
      <c r="D749"/>
    </row>
    <row r="750" spans="4:4">
      <c r="D750"/>
    </row>
    <row r="751" spans="4:4">
      <c r="D751"/>
    </row>
    <row r="752" spans="4:4">
      <c r="D752"/>
    </row>
    <row r="753" spans="4:4">
      <c r="D753"/>
    </row>
    <row r="754" spans="4:4">
      <c r="D754"/>
    </row>
    <row r="755" spans="4:4">
      <c r="D755"/>
    </row>
    <row r="756" spans="4:4">
      <c r="D756"/>
    </row>
    <row r="757" spans="4:4">
      <c r="D757"/>
    </row>
    <row r="758" spans="4:4">
      <c r="D758"/>
    </row>
    <row r="759" spans="4:4">
      <c r="D759"/>
    </row>
    <row r="760" spans="4:4">
      <c r="D760"/>
    </row>
    <row r="761" spans="4:4">
      <c r="D761"/>
    </row>
    <row r="762" spans="4:4">
      <c r="D762"/>
    </row>
    <row r="763" spans="4:4">
      <c r="D763"/>
    </row>
    <row r="764" spans="4:4">
      <c r="D764"/>
    </row>
    <row r="765" spans="4:4">
      <c r="D765"/>
    </row>
    <row r="766" spans="4:4">
      <c r="D766"/>
    </row>
    <row r="767" spans="4:4">
      <c r="D767"/>
    </row>
    <row r="768" spans="4:4">
      <c r="D768"/>
    </row>
    <row r="769" spans="4:4">
      <c r="D769"/>
    </row>
    <row r="770" spans="4:4">
      <c r="D770"/>
    </row>
    <row r="771" spans="4:4">
      <c r="D771"/>
    </row>
    <row r="772" spans="4:4">
      <c r="D772"/>
    </row>
    <row r="773" spans="4:4">
      <c r="D773"/>
    </row>
    <row r="774" spans="4:4">
      <c r="D774"/>
    </row>
    <row r="775" spans="4:4">
      <c r="D775"/>
    </row>
    <row r="776" spans="4:4">
      <c r="D776"/>
    </row>
    <row r="777" spans="4:4">
      <c r="D777"/>
    </row>
    <row r="778" spans="4:4">
      <c r="D778"/>
    </row>
    <row r="779" spans="4:4">
      <c r="D779"/>
    </row>
    <row r="780" spans="4:4">
      <c r="D780"/>
    </row>
    <row r="781" spans="4:4">
      <c r="D781"/>
    </row>
    <row r="782" spans="4:4">
      <c r="D782"/>
    </row>
    <row r="783" spans="4:4">
      <c r="D783"/>
    </row>
    <row r="784" spans="4:4">
      <c r="D784"/>
    </row>
    <row r="785" spans="4:4">
      <c r="D785"/>
    </row>
    <row r="786" spans="4:4">
      <c r="D786"/>
    </row>
    <row r="787" spans="4:4">
      <c r="D787"/>
    </row>
    <row r="788" spans="4:4">
      <c r="D788"/>
    </row>
    <row r="789" spans="4:4">
      <c r="D789"/>
    </row>
    <row r="790" spans="4:4">
      <c r="D790"/>
    </row>
    <row r="791" spans="4:4">
      <c r="D791"/>
    </row>
    <row r="792" spans="4:4">
      <c r="D792"/>
    </row>
    <row r="793" spans="4:4">
      <c r="D793"/>
    </row>
    <row r="794" spans="4:4">
      <c r="D794"/>
    </row>
    <row r="795" spans="4:4">
      <c r="D795"/>
    </row>
    <row r="796" spans="4:4">
      <c r="D796"/>
    </row>
    <row r="797" spans="4:4">
      <c r="D797"/>
    </row>
    <row r="798" spans="4:4">
      <c r="D798"/>
    </row>
    <row r="799" spans="4:4">
      <c r="D799"/>
    </row>
    <row r="800" spans="4:4">
      <c r="D800"/>
    </row>
    <row r="801" spans="4:4">
      <c r="D801"/>
    </row>
    <row r="802" spans="4:4">
      <c r="D802"/>
    </row>
    <row r="803" spans="4:4">
      <c r="D803"/>
    </row>
    <row r="804" spans="4:4">
      <c r="D804"/>
    </row>
    <row r="805" spans="4:4">
      <c r="D805"/>
    </row>
    <row r="806" spans="4:4">
      <c r="D806"/>
    </row>
    <row r="807" spans="4:4">
      <c r="D807"/>
    </row>
    <row r="808" spans="4:4">
      <c r="D808"/>
    </row>
    <row r="809" spans="4:4">
      <c r="D809"/>
    </row>
    <row r="810" spans="4:4">
      <c r="D810"/>
    </row>
    <row r="811" spans="4:4">
      <c r="D811"/>
    </row>
    <row r="812" spans="4:4">
      <c r="D812"/>
    </row>
    <row r="813" spans="4:4">
      <c r="D813"/>
    </row>
    <row r="814" spans="4:4">
      <c r="D814"/>
    </row>
    <row r="815" spans="4:4">
      <c r="D815"/>
    </row>
    <row r="816" spans="4:4">
      <c r="D816"/>
    </row>
    <row r="817" spans="4:4">
      <c r="D817"/>
    </row>
    <row r="818" spans="4:4">
      <c r="D818"/>
    </row>
    <row r="819" spans="4:4">
      <c r="D819"/>
    </row>
    <row r="820" spans="4:4">
      <c r="D820"/>
    </row>
    <row r="821" spans="4:4">
      <c r="D821"/>
    </row>
    <row r="822" spans="4:4">
      <c r="D822"/>
    </row>
    <row r="823" spans="4:4">
      <c r="D823"/>
    </row>
    <row r="824" spans="4:4">
      <c r="D824"/>
    </row>
    <row r="825" spans="4:4">
      <c r="D825"/>
    </row>
    <row r="826" spans="4:4">
      <c r="D826"/>
    </row>
    <row r="827" spans="4:4">
      <c r="D827"/>
    </row>
    <row r="828" spans="4:4">
      <c r="D828"/>
    </row>
    <row r="829" spans="4:4">
      <c r="D829"/>
    </row>
    <row r="830" spans="4:4">
      <c r="D830"/>
    </row>
    <row r="831" spans="4:4">
      <c r="D831"/>
    </row>
    <row r="832" spans="4:4">
      <c r="D832"/>
    </row>
    <row r="833" spans="4:4">
      <c r="D833"/>
    </row>
    <row r="834" spans="4:4">
      <c r="D834"/>
    </row>
    <row r="835" spans="4:4">
      <c r="D835"/>
    </row>
    <row r="836" spans="4:4">
      <c r="D836"/>
    </row>
    <row r="837" spans="4:4">
      <c r="D837"/>
    </row>
    <row r="838" spans="4:4">
      <c r="D838"/>
    </row>
    <row r="839" spans="4:4">
      <c r="D839"/>
    </row>
    <row r="840" spans="4:4">
      <c r="D840"/>
    </row>
    <row r="841" spans="4:4">
      <c r="D841"/>
    </row>
    <row r="842" spans="4:4">
      <c r="D842"/>
    </row>
    <row r="843" spans="4:4">
      <c r="D843"/>
    </row>
    <row r="844" spans="4:4">
      <c r="D844"/>
    </row>
    <row r="845" spans="4:4">
      <c r="D845"/>
    </row>
    <row r="846" spans="4:4">
      <c r="D846"/>
    </row>
    <row r="847" spans="4:4">
      <c r="D847"/>
    </row>
    <row r="848" spans="4:4">
      <c r="D848"/>
    </row>
    <row r="849" spans="4:4">
      <c r="D849"/>
    </row>
    <row r="850" spans="4:4">
      <c r="D850"/>
    </row>
    <row r="851" spans="4:4">
      <c r="D851"/>
    </row>
    <row r="852" spans="4:4">
      <c r="D852"/>
    </row>
    <row r="853" spans="4:4">
      <c r="D853"/>
    </row>
    <row r="854" spans="4:4">
      <c r="D854"/>
    </row>
    <row r="855" spans="4:4">
      <c r="D855"/>
    </row>
    <row r="856" spans="4:4">
      <c r="D856"/>
    </row>
    <row r="857" spans="4:4">
      <c r="D857"/>
    </row>
    <row r="858" spans="4:4">
      <c r="D858"/>
    </row>
    <row r="859" spans="4:4">
      <c r="D859"/>
    </row>
    <row r="860" spans="4:4">
      <c r="D860"/>
    </row>
    <row r="861" spans="4:4">
      <c r="D861"/>
    </row>
    <row r="862" spans="4:4">
      <c r="D862"/>
    </row>
    <row r="863" spans="4:4">
      <c r="D863"/>
    </row>
    <row r="864" spans="4:4">
      <c r="D864"/>
    </row>
    <row r="865" spans="4:4">
      <c r="D865"/>
    </row>
    <row r="866" spans="4:4">
      <c r="D866"/>
    </row>
    <row r="867" spans="4:4">
      <c r="D867"/>
    </row>
    <row r="868" spans="4:4">
      <c r="D868"/>
    </row>
    <row r="869" spans="4:4">
      <c r="D869"/>
    </row>
    <row r="870" spans="4:4">
      <c r="D870"/>
    </row>
    <row r="871" spans="4:4">
      <c r="D871"/>
    </row>
    <row r="872" spans="4:4">
      <c r="D872"/>
    </row>
    <row r="873" spans="4:4">
      <c r="D873"/>
    </row>
    <row r="874" spans="4:4">
      <c r="D874"/>
    </row>
    <row r="875" spans="4:4">
      <c r="D875"/>
    </row>
    <row r="876" spans="4:4">
      <c r="D876"/>
    </row>
    <row r="877" spans="4:4">
      <c r="D877"/>
    </row>
    <row r="878" spans="4:4">
      <c r="D878"/>
    </row>
    <row r="879" spans="4:4">
      <c r="D879"/>
    </row>
    <row r="880" spans="4:4">
      <c r="D880"/>
    </row>
    <row r="881" spans="4:4">
      <c r="D881"/>
    </row>
    <row r="882" spans="4:4">
      <c r="D882"/>
    </row>
    <row r="883" spans="4:4">
      <c r="D883"/>
    </row>
    <row r="884" spans="4:4">
      <c r="D884"/>
    </row>
    <row r="885" spans="4:4">
      <c r="D885"/>
    </row>
    <row r="886" spans="4:4">
      <c r="D886"/>
    </row>
    <row r="887" spans="4:4">
      <c r="D887"/>
    </row>
    <row r="888" spans="4:4">
      <c r="D888"/>
    </row>
    <row r="889" spans="4:4">
      <c r="D889"/>
    </row>
    <row r="890" spans="4:4">
      <c r="D890"/>
    </row>
    <row r="891" spans="4:4">
      <c r="D891"/>
    </row>
    <row r="892" spans="4:4">
      <c r="D892"/>
    </row>
    <row r="893" spans="4:4">
      <c r="D893"/>
    </row>
    <row r="894" spans="4:4">
      <c r="D894"/>
    </row>
    <row r="895" spans="4:4">
      <c r="D895"/>
    </row>
    <row r="896" spans="4:4">
      <c r="D896"/>
    </row>
    <row r="897" spans="4:4">
      <c r="D897"/>
    </row>
    <row r="898" spans="4:4">
      <c r="D898"/>
    </row>
    <row r="899" spans="4:4">
      <c r="D899"/>
    </row>
    <row r="900" spans="4:4">
      <c r="D900"/>
    </row>
    <row r="901" spans="4:4">
      <c r="D901"/>
    </row>
    <row r="902" spans="4:4">
      <c r="D902"/>
    </row>
    <row r="903" spans="4:4">
      <c r="D903"/>
    </row>
    <row r="904" spans="4:4">
      <c r="D904"/>
    </row>
    <row r="905" spans="4:4">
      <c r="D905"/>
    </row>
    <row r="906" spans="4:4">
      <c r="D906"/>
    </row>
    <row r="907" spans="4:4">
      <c r="D907"/>
    </row>
    <row r="908" spans="4:4">
      <c r="D908"/>
    </row>
    <row r="909" spans="4:4">
      <c r="D909"/>
    </row>
    <row r="910" spans="4:4">
      <c r="D910"/>
    </row>
    <row r="911" spans="4:4">
      <c r="D911"/>
    </row>
    <row r="912" spans="4:4">
      <c r="D912"/>
    </row>
    <row r="913" spans="4:4">
      <c r="D913"/>
    </row>
    <row r="914" spans="4:4">
      <c r="D914"/>
    </row>
    <row r="915" spans="4:4">
      <c r="D915"/>
    </row>
    <row r="916" spans="4:4">
      <c r="D916"/>
    </row>
    <row r="917" spans="4:4">
      <c r="D917"/>
    </row>
    <row r="918" spans="4:4">
      <c r="D918"/>
    </row>
    <row r="919" spans="4:4">
      <c r="D919"/>
    </row>
    <row r="920" spans="4:4">
      <c r="D920"/>
    </row>
    <row r="921" spans="4:4">
      <c r="D921"/>
    </row>
    <row r="922" spans="4:4">
      <c r="D922"/>
    </row>
    <row r="923" spans="4:4">
      <c r="D923"/>
    </row>
    <row r="924" spans="4:4">
      <c r="D924"/>
    </row>
    <row r="925" spans="4:4">
      <c r="D925"/>
    </row>
    <row r="926" spans="4:4">
      <c r="D926"/>
    </row>
    <row r="927" spans="4:4">
      <c r="D927"/>
    </row>
    <row r="928" spans="4:4">
      <c r="D928"/>
    </row>
    <row r="929" spans="4:4">
      <c r="D929"/>
    </row>
    <row r="930" spans="4:4">
      <c r="D930"/>
    </row>
    <row r="931" spans="4:4">
      <c r="D931"/>
    </row>
    <row r="932" spans="4:4">
      <c r="D932"/>
    </row>
    <row r="933" spans="4:4">
      <c r="D933"/>
    </row>
    <row r="934" spans="4:4">
      <c r="D934"/>
    </row>
    <row r="935" spans="4:4">
      <c r="D935"/>
    </row>
    <row r="936" spans="4:4">
      <c r="D936"/>
    </row>
    <row r="937" spans="4:4">
      <c r="D937"/>
    </row>
    <row r="938" spans="4:4">
      <c r="D938"/>
    </row>
    <row r="939" spans="4:4">
      <c r="D939"/>
    </row>
    <row r="940" spans="4:4">
      <c r="D940"/>
    </row>
    <row r="941" spans="4:4">
      <c r="D941"/>
    </row>
    <row r="942" spans="4:4">
      <c r="D942"/>
    </row>
    <row r="943" spans="4:4">
      <c r="D943"/>
    </row>
    <row r="944" spans="4:4">
      <c r="D944"/>
    </row>
    <row r="945" spans="4:4">
      <c r="D945"/>
    </row>
    <row r="946" spans="4:4">
      <c r="D946"/>
    </row>
    <row r="947" spans="4:4">
      <c r="D947"/>
    </row>
    <row r="948" spans="4:4">
      <c r="D948"/>
    </row>
    <row r="949" spans="4:4">
      <c r="D949"/>
    </row>
    <row r="950" spans="4:4">
      <c r="D950"/>
    </row>
    <row r="951" spans="4:4">
      <c r="D951"/>
    </row>
    <row r="952" spans="4:4">
      <c r="D952"/>
    </row>
    <row r="953" spans="4:4">
      <c r="D953"/>
    </row>
    <row r="954" spans="4:4">
      <c r="D954"/>
    </row>
    <row r="955" spans="4:4">
      <c r="D955"/>
    </row>
    <row r="956" spans="4:4">
      <c r="D956"/>
    </row>
    <row r="957" spans="4:4">
      <c r="D957"/>
    </row>
    <row r="958" spans="4:4">
      <c r="D958"/>
    </row>
    <row r="959" spans="4:4">
      <c r="D959"/>
    </row>
    <row r="960" spans="4:4">
      <c r="D960"/>
    </row>
    <row r="961" spans="4:4">
      <c r="D961"/>
    </row>
    <row r="962" spans="4:4">
      <c r="D962"/>
    </row>
    <row r="963" spans="4:4">
      <c r="D963"/>
    </row>
    <row r="964" spans="4:4">
      <c r="D964"/>
    </row>
    <row r="965" spans="4:4">
      <c r="D965"/>
    </row>
    <row r="966" spans="4:4">
      <c r="D966"/>
    </row>
    <row r="967" spans="4:4">
      <c r="D967"/>
    </row>
    <row r="968" spans="4:4">
      <c r="D968"/>
    </row>
    <row r="969" spans="4:4">
      <c r="D969"/>
    </row>
    <row r="970" spans="4:4">
      <c r="D970"/>
    </row>
    <row r="971" spans="4:4">
      <c r="D971"/>
    </row>
    <row r="972" spans="4:4">
      <c r="D972"/>
    </row>
    <row r="973" spans="4:4">
      <c r="D973"/>
    </row>
    <row r="974" spans="4:4">
      <c r="D974"/>
    </row>
    <row r="975" spans="4:4">
      <c r="D975"/>
    </row>
    <row r="976" spans="4:4">
      <c r="D976"/>
    </row>
    <row r="977" spans="4:4">
      <c r="D977"/>
    </row>
    <row r="978" spans="4:4">
      <c r="D978"/>
    </row>
    <row r="979" spans="4:4">
      <c r="D979"/>
    </row>
    <row r="980" spans="4:4">
      <c r="D980"/>
    </row>
    <row r="981" spans="4:4">
      <c r="D981"/>
    </row>
    <row r="982" spans="4:4">
      <c r="D982"/>
    </row>
    <row r="983" spans="4:4">
      <c r="D983"/>
    </row>
    <row r="984" spans="4:4">
      <c r="D984"/>
    </row>
    <row r="985" spans="4:4">
      <c r="D985"/>
    </row>
    <row r="986" spans="4:4">
      <c r="D986"/>
    </row>
    <row r="987" spans="4:4">
      <c r="D987"/>
    </row>
    <row r="988" spans="4:4">
      <c r="D988"/>
    </row>
    <row r="989" spans="4:4">
      <c r="D989"/>
    </row>
    <row r="990" spans="4:4">
      <c r="D990"/>
    </row>
    <row r="991" spans="4:4">
      <c r="D991"/>
    </row>
    <row r="992" spans="4:4">
      <c r="D992"/>
    </row>
    <row r="993" spans="4:4">
      <c r="D993"/>
    </row>
    <row r="994" spans="4:4">
      <c r="D994"/>
    </row>
    <row r="995" spans="4:4">
      <c r="D995"/>
    </row>
    <row r="996" spans="4:4">
      <c r="D996"/>
    </row>
    <row r="997" spans="4:4">
      <c r="D997"/>
    </row>
    <row r="998" spans="4:4">
      <c r="D998"/>
    </row>
    <row r="999" spans="4:4">
      <c r="D999"/>
    </row>
    <row r="1000" spans="4:4">
      <c r="D1000"/>
    </row>
    <row r="1001" spans="4:4">
      <c r="D1001"/>
    </row>
    <row r="1002" spans="4:4">
      <c r="D1002"/>
    </row>
    <row r="1003" spans="4:4">
      <c r="D1003"/>
    </row>
    <row r="1004" spans="4:4">
      <c r="D1004"/>
    </row>
    <row r="1005" spans="4:4">
      <c r="D1005"/>
    </row>
    <row r="1006" spans="4:4">
      <c r="D1006"/>
    </row>
    <row r="1007" spans="4:4">
      <c r="D1007"/>
    </row>
    <row r="1008" spans="4:4">
      <c r="D1008"/>
    </row>
  </sheetData>
  <mergeCells count="2">
    <mergeCell ref="R2:S2"/>
    <mergeCell ref="P2:Q2"/>
  </mergeCells>
  <phoneticPr fontId="0" type="noConversion"/>
  <printOptions gridLines="1" gridLinesSet="0"/>
  <pageMargins left="0.75" right="0.75" top="1" bottom="1" header="0.5" footer="0.5"/>
  <pageSetup orientation="portrait" r:id="rId1"/>
  <headerFooter alignWithMargins="0">
    <oddHeader>&amp;F</oddHeader>
    <oddFooter>Page &amp;P</oddFooter>
  </headerFooter>
  <drawing r:id="rId2"/>
</worksheet>
</file>

<file path=docMetadata/LabelInfo.xml><?xml version="1.0" encoding="utf-8"?>
<clbl:labelList xmlns:clbl="http://schemas.microsoft.com/office/2020/mipLabelMetadata">
  <clbl:label id="{59eaafce-8924-450f-9a46-821154527c0c}" enabled="1" method="Standard" siteId="{48794f31-2f6d-4909-8b2f-53b64c7f319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test_FRAMA</vt:lpstr>
    </vt:vector>
  </TitlesOfParts>
  <Company>ta-lib.org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Fortier</dc:creator>
  <cp:lastModifiedBy>Ivan Shiyan (IVAS)</cp:lastModifiedBy>
  <dcterms:created xsi:type="dcterms:W3CDTF">2003-02-10T02:04:58Z</dcterms:created>
  <dcterms:modified xsi:type="dcterms:W3CDTF">2025-04-28T12:45:36Z</dcterms:modified>
</cp:coreProperties>
</file>