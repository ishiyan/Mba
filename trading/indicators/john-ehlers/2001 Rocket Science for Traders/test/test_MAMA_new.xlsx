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-72" yWindow="708" windowWidth="19716" windowHeight="8556"/>
  </bookViews>
  <sheets>
    <sheet name="test_MAMA" sheetId="1" r:id="rId1"/>
    <sheet name="Period Logic" sheetId="2" r:id="rId2"/>
  </sheets>
  <calcPr calcId="124519"/>
</workbook>
</file>

<file path=xl/calcChain.xml><?xml version="1.0" encoding="utf-8"?>
<calcChain xmlns="http://schemas.openxmlformats.org/spreadsheetml/2006/main">
  <c r="K256" i="1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J256"/>
  <c r="J255"/>
  <c r="J254"/>
  <c r="J253"/>
  <c r="J252"/>
  <c r="J251"/>
  <c r="J250"/>
  <c r="J249"/>
  <c r="J248"/>
  <c r="J247"/>
  <c r="J246"/>
  <c r="J245"/>
  <c r="J244"/>
  <c r="J243"/>
  <c r="J242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H30"/>
  <c r="I30" s="1"/>
  <c r="J30" s="1"/>
  <c r="K30" s="1"/>
  <c r="L31" s="1"/>
  <c r="M30" l="1"/>
  <c r="G30"/>
  <c r="A1" i="2"/>
  <c r="D32" i="1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35"/>
  <c r="D34"/>
  <c r="D33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12"/>
  <c r="D11"/>
  <c r="D10"/>
  <c r="D9"/>
  <c r="D8"/>
  <c r="D7"/>
  <c r="D6"/>
  <c r="D5"/>
  <c r="N5" a="1"/>
  <c r="L32" l="1"/>
  <c r="L33" s="1"/>
  <c r="L34" s="1"/>
  <c r="L35" s="1"/>
  <c r="L36" s="1"/>
  <c r="L37" s="1"/>
  <c r="L38" s="1"/>
  <c r="L39" s="1"/>
  <c r="L40" s="1"/>
  <c r="L41" s="1"/>
  <c r="L42" s="1"/>
  <c r="L43" s="1"/>
  <c r="L44" s="1"/>
  <c r="L45" s="1"/>
  <c r="L46" s="1"/>
  <c r="L47" s="1"/>
  <c r="L48" s="1"/>
  <c r="L49" s="1"/>
  <c r="L50" s="1"/>
  <c r="L51" s="1"/>
  <c r="L52" s="1"/>
  <c r="L53" s="1"/>
  <c r="L54" s="1"/>
  <c r="L55" s="1"/>
  <c r="L56" s="1"/>
  <c r="L57" s="1"/>
  <c r="L58" s="1"/>
  <c r="L59" s="1"/>
  <c r="L60" s="1"/>
  <c r="L61" s="1"/>
  <c r="L62" s="1"/>
  <c r="L63" s="1"/>
  <c r="L64" s="1"/>
  <c r="L65" s="1"/>
  <c r="L66" s="1"/>
  <c r="L67" s="1"/>
  <c r="L68" s="1"/>
  <c r="L69" s="1"/>
  <c r="L70" s="1"/>
  <c r="L71" s="1"/>
  <c r="L72" s="1"/>
  <c r="L73" s="1"/>
  <c r="L74" s="1"/>
  <c r="L75" s="1"/>
  <c r="L76" s="1"/>
  <c r="L77" s="1"/>
  <c r="L78" s="1"/>
  <c r="L79" s="1"/>
  <c r="L80" s="1"/>
  <c r="L81" s="1"/>
  <c r="L82" s="1"/>
  <c r="L83" s="1"/>
  <c r="L84" s="1"/>
  <c r="L85" s="1"/>
  <c r="L86" s="1"/>
  <c r="L87" s="1"/>
  <c r="L88" s="1"/>
  <c r="L89" s="1"/>
  <c r="L90" s="1"/>
  <c r="L91" s="1"/>
  <c r="L92" s="1"/>
  <c r="L93" s="1"/>
  <c r="L94" s="1"/>
  <c r="L95" s="1"/>
  <c r="L96" s="1"/>
  <c r="L97" s="1"/>
  <c r="L98" s="1"/>
  <c r="L99" s="1"/>
  <c r="L100" s="1"/>
  <c r="L101" s="1"/>
  <c r="L102" s="1"/>
  <c r="L103" s="1"/>
  <c r="L104" s="1"/>
  <c r="L105" s="1"/>
  <c r="L106" s="1"/>
  <c r="L107" s="1"/>
  <c r="L108" s="1"/>
  <c r="L109" s="1"/>
  <c r="L110" s="1"/>
  <c r="L111" s="1"/>
  <c r="L112" s="1"/>
  <c r="L113" s="1"/>
  <c r="L114" s="1"/>
  <c r="L115" s="1"/>
  <c r="L116" s="1"/>
  <c r="L117" s="1"/>
  <c r="L118" s="1"/>
  <c r="L119" s="1"/>
  <c r="L120" s="1"/>
  <c r="L121" s="1"/>
  <c r="L122" s="1"/>
  <c r="L123" s="1"/>
  <c r="L124" s="1"/>
  <c r="L125" s="1"/>
  <c r="L126" s="1"/>
  <c r="L127" s="1"/>
  <c r="L128" s="1"/>
  <c r="L129" s="1"/>
  <c r="L130" s="1"/>
  <c r="L131" s="1"/>
  <c r="L132" s="1"/>
  <c r="L133" s="1"/>
  <c r="L134" s="1"/>
  <c r="L135" s="1"/>
  <c r="L136" s="1"/>
  <c r="L137" s="1"/>
  <c r="L138" s="1"/>
  <c r="L139" s="1"/>
  <c r="L140" s="1"/>
  <c r="L141" s="1"/>
  <c r="L142" s="1"/>
  <c r="L143" s="1"/>
  <c r="L144" s="1"/>
  <c r="L145" s="1"/>
  <c r="L146" s="1"/>
  <c r="L147" s="1"/>
  <c r="L148" s="1"/>
  <c r="L149" s="1"/>
  <c r="L150" s="1"/>
  <c r="L151" s="1"/>
  <c r="L152" s="1"/>
  <c r="L153" s="1"/>
  <c r="L154" s="1"/>
  <c r="L155" s="1"/>
  <c r="L156" s="1"/>
  <c r="L157" s="1"/>
  <c r="L158" s="1"/>
  <c r="L159" s="1"/>
  <c r="L160" s="1"/>
  <c r="L161" s="1"/>
  <c r="L162" s="1"/>
  <c r="L163" s="1"/>
  <c r="L164" s="1"/>
  <c r="L165" s="1"/>
  <c r="L166" s="1"/>
  <c r="L167" s="1"/>
  <c r="L168" s="1"/>
  <c r="L169" s="1"/>
  <c r="L170" s="1"/>
  <c r="L171" s="1"/>
  <c r="L172" s="1"/>
  <c r="L173" s="1"/>
  <c r="L174" s="1"/>
  <c r="L175" s="1"/>
  <c r="L176" s="1"/>
  <c r="L177" s="1"/>
  <c r="L178" s="1"/>
  <c r="L179" s="1"/>
  <c r="L180" s="1"/>
  <c r="L181" s="1"/>
  <c r="L182" s="1"/>
  <c r="L183" s="1"/>
  <c r="L184" s="1"/>
  <c r="L185" s="1"/>
  <c r="L186" s="1"/>
  <c r="L187" s="1"/>
  <c r="L188" s="1"/>
  <c r="L189" s="1"/>
  <c r="L190" s="1"/>
  <c r="L191" s="1"/>
  <c r="L192" s="1"/>
  <c r="L193" s="1"/>
  <c r="L194" s="1"/>
  <c r="L195" s="1"/>
  <c r="L196" s="1"/>
  <c r="L197" s="1"/>
  <c r="L198" s="1"/>
  <c r="L199" s="1"/>
  <c r="L200" s="1"/>
  <c r="L201" s="1"/>
  <c r="L202" s="1"/>
  <c r="L203" s="1"/>
  <c r="L204" s="1"/>
  <c r="L205" s="1"/>
  <c r="L206" s="1"/>
  <c r="L207" s="1"/>
  <c r="L208" s="1"/>
  <c r="L209" s="1"/>
  <c r="L210" s="1"/>
  <c r="L211" s="1"/>
  <c r="L212" s="1"/>
  <c r="L213" s="1"/>
  <c r="L214" s="1"/>
  <c r="L215" s="1"/>
  <c r="L216" s="1"/>
  <c r="L217" s="1"/>
  <c r="L218" s="1"/>
  <c r="L219" s="1"/>
  <c r="L220" s="1"/>
  <c r="L221" s="1"/>
  <c r="L222" s="1"/>
  <c r="L223" s="1"/>
  <c r="L224" s="1"/>
  <c r="L225" s="1"/>
  <c r="L226" s="1"/>
  <c r="L227" s="1"/>
  <c r="L228" s="1"/>
  <c r="L229" s="1"/>
  <c r="L230" s="1"/>
  <c r="L231" s="1"/>
  <c r="L232" s="1"/>
  <c r="L233" s="1"/>
  <c r="L234" s="1"/>
  <c r="L235" s="1"/>
  <c r="L236" s="1"/>
  <c r="L237" s="1"/>
  <c r="L238" s="1"/>
  <c r="L239" s="1"/>
  <c r="L240" s="1"/>
  <c r="L241" s="1"/>
  <c r="L242" s="1"/>
  <c r="L243" s="1"/>
  <c r="L244" s="1"/>
  <c r="L245" s="1"/>
  <c r="L246" s="1"/>
  <c r="L247" s="1"/>
  <c r="L248" s="1"/>
  <c r="L249" s="1"/>
  <c r="L250" s="1"/>
  <c r="L251" s="1"/>
  <c r="L252" s="1"/>
  <c r="L253" s="1"/>
  <c r="L254" s="1"/>
  <c r="L255" s="1"/>
  <c r="L256" s="1"/>
  <c r="M31"/>
  <c r="O56"/>
  <c r="N20"/>
  <c r="N68"/>
  <c r="N100"/>
  <c r="N132"/>
  <c r="N164"/>
  <c r="O199"/>
  <c r="N163"/>
  <c r="O161"/>
  <c r="N242"/>
  <c r="O249"/>
  <c r="N21"/>
  <c r="N85"/>
  <c r="N149"/>
  <c r="N199"/>
  <c r="N231"/>
  <c r="O19"/>
  <c r="O131"/>
  <c r="O206"/>
  <c r="O254"/>
  <c r="N151"/>
  <c r="N232"/>
  <c r="N139"/>
  <c r="O36"/>
  <c r="O253"/>
  <c r="N6"/>
  <c r="O234"/>
  <c r="O121"/>
  <c r="O177"/>
  <c r="N86"/>
  <c r="N192"/>
  <c r="O189"/>
  <c r="N212"/>
  <c r="O186"/>
  <c r="N109"/>
  <c r="O48"/>
  <c r="O96"/>
  <c r="O144"/>
  <c r="N12"/>
  <c r="N41"/>
  <c r="N105"/>
  <c r="N169"/>
  <c r="N209"/>
  <c r="N241"/>
  <c r="O71"/>
  <c r="O167"/>
  <c r="O224"/>
  <c r="O38"/>
  <c r="O86"/>
  <c r="O134"/>
  <c r="O182"/>
  <c r="N58"/>
  <c r="N90"/>
  <c r="N122"/>
  <c r="N154"/>
  <c r="N5"/>
  <c r="O109"/>
  <c r="O243"/>
  <c r="N230"/>
  <c r="N11"/>
  <c r="N234"/>
  <c r="O28"/>
  <c r="O84"/>
  <c r="O132"/>
  <c r="O180"/>
  <c r="N56"/>
  <c r="N88"/>
  <c r="N120"/>
  <c r="N152"/>
  <c r="N184"/>
  <c r="O31"/>
  <c r="O133"/>
  <c r="O255"/>
  <c r="N203"/>
  <c r="O93"/>
  <c r="O9"/>
  <c r="O242"/>
  <c r="O50"/>
  <c r="N77"/>
  <c r="O11"/>
  <c r="O250"/>
  <c r="N227"/>
  <c r="O89"/>
  <c r="O39"/>
  <c r="O208"/>
  <c r="N159"/>
  <c r="N91"/>
  <c r="O70"/>
  <c r="O166"/>
  <c r="N129"/>
  <c r="N102"/>
  <c r="N78"/>
  <c r="O29"/>
  <c r="O95"/>
  <c r="O90"/>
  <c r="N246"/>
  <c r="N150"/>
  <c r="N25"/>
  <c r="N63"/>
  <c r="N188"/>
  <c r="N252"/>
  <c r="O181"/>
  <c r="O97"/>
  <c r="O57"/>
  <c r="O30"/>
  <c r="O115"/>
  <c r="O198"/>
  <c r="O246"/>
  <c r="N27"/>
  <c r="O20"/>
  <c r="N81"/>
  <c r="N145"/>
  <c r="N197"/>
  <c r="N229"/>
  <c r="O15"/>
  <c r="O127"/>
  <c r="O204"/>
  <c r="O252"/>
  <c r="N143"/>
  <c r="N228"/>
  <c r="N222"/>
  <c r="O221"/>
  <c r="O169"/>
  <c r="O154"/>
  <c r="N134"/>
  <c r="O202"/>
  <c r="N110"/>
  <c r="O18"/>
  <c r="N62"/>
  <c r="N13"/>
  <c r="O98"/>
  <c r="O42"/>
  <c r="O235"/>
  <c r="N186"/>
  <c r="O171"/>
  <c r="O88"/>
  <c r="O136"/>
  <c r="O184"/>
  <c r="N60"/>
  <c r="N92"/>
  <c r="N124"/>
  <c r="N156"/>
  <c r="N9"/>
  <c r="O55"/>
  <c r="O151"/>
  <c r="O216"/>
  <c r="N31"/>
  <c r="N99"/>
  <c r="O33"/>
  <c r="N171"/>
  <c r="O22"/>
  <c r="O78"/>
  <c r="O126"/>
  <c r="O174"/>
  <c r="N69"/>
  <c r="N133"/>
  <c r="N191"/>
  <c r="N223"/>
  <c r="N255"/>
  <c r="N119"/>
  <c r="N216"/>
  <c r="O77"/>
  <c r="O227"/>
  <c r="O229"/>
  <c r="O12"/>
  <c r="O76"/>
  <c r="O124"/>
  <c r="O172"/>
  <c r="O101"/>
  <c r="O239"/>
  <c r="N250"/>
  <c r="O213"/>
  <c r="O210"/>
  <c r="O25"/>
  <c r="N30"/>
  <c r="N135"/>
  <c r="N214"/>
  <c r="N243"/>
  <c r="O10"/>
  <c r="N54"/>
  <c r="N182"/>
  <c r="N219"/>
  <c r="O218"/>
  <c r="N80"/>
  <c r="N112"/>
  <c r="N144"/>
  <c r="O111"/>
  <c r="O244"/>
  <c r="O41"/>
  <c r="N157"/>
  <c r="O155"/>
  <c r="O225"/>
  <c r="O135"/>
  <c r="O45"/>
  <c r="N65"/>
  <c r="N189"/>
  <c r="O69"/>
  <c r="O43"/>
  <c r="N211"/>
  <c r="O40"/>
  <c r="O32"/>
  <c r="N89"/>
  <c r="N153"/>
  <c r="N201"/>
  <c r="N233"/>
  <c r="O149"/>
  <c r="N35"/>
  <c r="O14"/>
  <c r="N50"/>
  <c r="N82"/>
  <c r="N114"/>
  <c r="N146"/>
  <c r="N178"/>
  <c r="O99"/>
  <c r="O190"/>
  <c r="O238"/>
  <c r="N198"/>
  <c r="O193"/>
  <c r="N48"/>
  <c r="N176"/>
  <c r="O196"/>
  <c r="O122"/>
  <c r="N240"/>
  <c r="N7"/>
  <c r="O164"/>
  <c r="N111"/>
  <c r="O251"/>
  <c r="O24"/>
  <c r="O80"/>
  <c r="O128"/>
  <c r="O176"/>
  <c r="O178"/>
  <c r="O170"/>
  <c r="O16"/>
  <c r="N52"/>
  <c r="N84"/>
  <c r="N116"/>
  <c r="N148"/>
  <c r="N180"/>
  <c r="O23"/>
  <c r="O117"/>
  <c r="O247"/>
  <c r="N238"/>
  <c r="N43"/>
  <c r="N117"/>
  <c r="N181"/>
  <c r="N215"/>
  <c r="N247"/>
  <c r="O83"/>
  <c r="O179"/>
  <c r="O230"/>
  <c r="N87"/>
  <c r="N200"/>
  <c r="O13"/>
  <c r="O73"/>
  <c r="N123"/>
  <c r="O188"/>
  <c r="O236"/>
  <c r="O129"/>
  <c r="O8"/>
  <c r="O72"/>
  <c r="O120"/>
  <c r="O168"/>
  <c r="N73"/>
  <c r="N137"/>
  <c r="N193"/>
  <c r="N225"/>
  <c r="O7"/>
  <c r="O119"/>
  <c r="O200"/>
  <c r="O248"/>
  <c r="O209"/>
  <c r="O201"/>
  <c r="O62"/>
  <c r="O110"/>
  <c r="O158"/>
  <c r="N42"/>
  <c r="N74"/>
  <c r="N106"/>
  <c r="N138"/>
  <c r="N170"/>
  <c r="O195"/>
  <c r="N147"/>
  <c r="O145"/>
  <c r="O60"/>
  <c r="O108"/>
  <c r="O156"/>
  <c r="N40"/>
  <c r="N72"/>
  <c r="N104"/>
  <c r="N136"/>
  <c r="N168"/>
  <c r="O37"/>
  <c r="O207"/>
  <c r="N210"/>
  <c r="O185"/>
  <c r="N93"/>
  <c r="O27"/>
  <c r="N167"/>
  <c r="O162"/>
  <c r="O146"/>
  <c r="N195"/>
  <c r="O187"/>
  <c r="N155"/>
  <c r="O219"/>
  <c r="O123"/>
  <c r="N75"/>
  <c r="O245"/>
  <c r="N127"/>
  <c r="N220"/>
  <c r="O85"/>
  <c r="O231"/>
  <c r="O237"/>
  <c r="N34"/>
  <c r="O67"/>
  <c r="O163"/>
  <c r="O222"/>
  <c r="O233"/>
  <c r="N32"/>
  <c r="N49"/>
  <c r="N113"/>
  <c r="N177"/>
  <c r="N213"/>
  <c r="N245"/>
  <c r="O79"/>
  <c r="O175"/>
  <c r="O228"/>
  <c r="N79"/>
  <c r="N196"/>
  <c r="O5"/>
  <c r="N131"/>
  <c r="O65"/>
  <c r="O58"/>
  <c r="N70"/>
  <c r="N29"/>
  <c r="N173"/>
  <c r="N115"/>
  <c r="N126"/>
  <c r="O194"/>
  <c r="O138"/>
  <c r="N208"/>
  <c r="N174"/>
  <c r="O64"/>
  <c r="O112"/>
  <c r="O160"/>
  <c r="N44"/>
  <c r="N76"/>
  <c r="N108"/>
  <c r="N140"/>
  <c r="N172"/>
  <c r="O103"/>
  <c r="O192"/>
  <c r="O240"/>
  <c r="N206"/>
  <c r="O105"/>
  <c r="O54"/>
  <c r="O102"/>
  <c r="O150"/>
  <c r="N26"/>
  <c r="N101"/>
  <c r="N165"/>
  <c r="N207"/>
  <c r="N239"/>
  <c r="N55"/>
  <c r="N183"/>
  <c r="N248"/>
  <c r="O173"/>
  <c r="O81"/>
  <c r="N226"/>
  <c r="O52"/>
  <c r="O100"/>
  <c r="O148"/>
  <c r="N24"/>
  <c r="N33"/>
  <c r="O191"/>
  <c r="O26"/>
  <c r="N51"/>
  <c r="O130"/>
  <c r="O114"/>
  <c r="O61"/>
  <c r="N142"/>
  <c r="N118"/>
  <c r="N125"/>
  <c r="O59"/>
  <c r="O113"/>
  <c r="N14"/>
  <c r="O125"/>
  <c r="N251"/>
  <c r="N179"/>
  <c r="N22"/>
  <c r="O256"/>
  <c r="O118"/>
  <c r="O211"/>
  <c r="O116"/>
  <c r="N253"/>
  <c r="O223"/>
  <c r="O153"/>
  <c r="N158"/>
  <c r="O137"/>
  <c r="N53"/>
  <c r="O91"/>
  <c r="O226"/>
  <c r="N187"/>
  <c r="N36"/>
  <c r="N57"/>
  <c r="N121"/>
  <c r="N185"/>
  <c r="N217"/>
  <c r="N249"/>
  <c r="O53"/>
  <c r="O215"/>
  <c r="O205"/>
  <c r="N59"/>
  <c r="N18"/>
  <c r="N66"/>
  <c r="N98"/>
  <c r="N130"/>
  <c r="N162"/>
  <c r="O51"/>
  <c r="O147"/>
  <c r="O214"/>
  <c r="N23"/>
  <c r="N83"/>
  <c r="O17"/>
  <c r="O217"/>
  <c r="N16"/>
  <c r="N64"/>
  <c r="N96"/>
  <c r="N128"/>
  <c r="N160"/>
  <c r="N17"/>
  <c r="O63"/>
  <c r="O159"/>
  <c r="O220"/>
  <c r="N107"/>
  <c r="N202"/>
  <c r="N235"/>
  <c r="N39"/>
  <c r="O34"/>
  <c r="N141"/>
  <c r="O139"/>
  <c r="N194"/>
  <c r="N71"/>
  <c r="O106"/>
  <c r="O104"/>
  <c r="O152"/>
  <c r="N28"/>
  <c r="O87"/>
  <c r="O183"/>
  <c r="O232"/>
  <c r="N95"/>
  <c r="N204"/>
  <c r="O21"/>
  <c r="O46"/>
  <c r="O94"/>
  <c r="O142"/>
  <c r="N10"/>
  <c r="N37"/>
  <c r="O35"/>
  <c r="O141"/>
  <c r="N19"/>
  <c r="O44"/>
  <c r="O92"/>
  <c r="O140"/>
  <c r="N8"/>
  <c r="N97"/>
  <c r="N161"/>
  <c r="N205"/>
  <c r="N237"/>
  <c r="N47"/>
  <c r="N175"/>
  <c r="N244"/>
  <c r="O165"/>
  <c r="N67"/>
  <c r="N254"/>
  <c r="N38"/>
  <c r="N166"/>
  <c r="O203"/>
  <c r="N45"/>
  <c r="N256"/>
  <c r="O82"/>
  <c r="N94"/>
  <c r="N103"/>
  <c r="O66"/>
  <c r="O47"/>
  <c r="O143"/>
  <c r="O212"/>
  <c r="N15"/>
  <c r="O241"/>
  <c r="N218"/>
  <c r="O75"/>
  <c r="N224"/>
  <c r="N46"/>
  <c r="O107"/>
  <c r="O74"/>
  <c r="N61"/>
  <c r="O157"/>
  <c r="N236"/>
  <c r="O6"/>
  <c r="O197"/>
  <c r="O68"/>
  <c r="N221"/>
  <c r="N190"/>
  <c r="O49"/>
  <c r="M32" l="1"/>
  <c r="M33" s="1"/>
  <c r="M34" s="1"/>
  <c r="M35" s="1"/>
  <c r="M36" s="1"/>
  <c r="M37" s="1"/>
  <c r="M38" s="1"/>
  <c r="M39" s="1"/>
  <c r="M40" s="1"/>
  <c r="M41" s="1"/>
  <c r="M42" s="1"/>
  <c r="M43" s="1"/>
  <c r="M44" s="1"/>
  <c r="M45" s="1"/>
  <c r="M46" s="1"/>
  <c r="M47" s="1"/>
  <c r="M48" s="1"/>
  <c r="M49" s="1"/>
  <c r="M50" s="1"/>
  <c r="M51" s="1"/>
  <c r="M52" s="1"/>
  <c r="M53" s="1"/>
  <c r="M54" s="1"/>
  <c r="M55" s="1"/>
  <c r="M56" s="1"/>
  <c r="M57" s="1"/>
  <c r="M58" s="1"/>
  <c r="M59" s="1"/>
  <c r="M60" s="1"/>
  <c r="M61" s="1"/>
  <c r="M62" s="1"/>
  <c r="M63" s="1"/>
  <c r="M64" s="1"/>
  <c r="M65" s="1"/>
  <c r="M66" s="1"/>
  <c r="M67" s="1"/>
  <c r="M68" s="1"/>
  <c r="M69" s="1"/>
  <c r="M70" s="1"/>
  <c r="M71" s="1"/>
  <c r="M72" s="1"/>
  <c r="M73" s="1"/>
  <c r="M74" s="1"/>
  <c r="M75" s="1"/>
  <c r="M76" s="1"/>
  <c r="M77" s="1"/>
  <c r="M78" s="1"/>
  <c r="M79" s="1"/>
  <c r="M80" s="1"/>
  <c r="M81" s="1"/>
  <c r="M82" s="1"/>
  <c r="M83" s="1"/>
  <c r="M84" s="1"/>
  <c r="M85" s="1"/>
  <c r="M86" s="1"/>
  <c r="M87" s="1"/>
  <c r="M88" s="1"/>
  <c r="M89" s="1"/>
  <c r="M90" s="1"/>
  <c r="M91" s="1"/>
  <c r="M92" s="1"/>
  <c r="M93" s="1"/>
  <c r="M94" s="1"/>
  <c r="M95" s="1"/>
  <c r="M96" s="1"/>
  <c r="M97" s="1"/>
  <c r="M98" s="1"/>
  <c r="M99" s="1"/>
  <c r="M100" s="1"/>
  <c r="M101" s="1"/>
  <c r="M102" s="1"/>
  <c r="M103" s="1"/>
  <c r="M104" s="1"/>
  <c r="M105" s="1"/>
  <c r="M106" s="1"/>
  <c r="M107" s="1"/>
  <c r="M108" s="1"/>
  <c r="M109" s="1"/>
  <c r="M110" s="1"/>
  <c r="M111" s="1"/>
  <c r="M112" s="1"/>
  <c r="M113" s="1"/>
  <c r="M114" s="1"/>
  <c r="M115" s="1"/>
  <c r="M116" s="1"/>
  <c r="M117" s="1"/>
  <c r="M118" s="1"/>
  <c r="M119" s="1"/>
  <c r="M120" s="1"/>
  <c r="M121" s="1"/>
  <c r="M122" s="1"/>
  <c r="M123" s="1"/>
  <c r="M124" s="1"/>
  <c r="M125" s="1"/>
  <c r="M126" s="1"/>
  <c r="M127" s="1"/>
  <c r="M128" s="1"/>
  <c r="M129" s="1"/>
  <c r="M130" s="1"/>
  <c r="M131" s="1"/>
  <c r="M132" s="1"/>
  <c r="M133" s="1"/>
  <c r="M134" s="1"/>
  <c r="M135" s="1"/>
  <c r="M136" s="1"/>
  <c r="M137" s="1"/>
  <c r="M138" s="1"/>
  <c r="M139" s="1"/>
  <c r="M140" s="1"/>
  <c r="M141" s="1"/>
  <c r="M142" s="1"/>
  <c r="M143" s="1"/>
  <c r="M144" s="1"/>
  <c r="M145" s="1"/>
  <c r="M146" s="1"/>
  <c r="M147" s="1"/>
  <c r="M148" s="1"/>
  <c r="M149" s="1"/>
  <c r="M150" s="1"/>
  <c r="M151" s="1"/>
  <c r="M152" s="1"/>
  <c r="M153" s="1"/>
  <c r="M154" s="1"/>
  <c r="M155" s="1"/>
  <c r="M156" s="1"/>
  <c r="M157" s="1"/>
  <c r="M158" s="1"/>
  <c r="M159" s="1"/>
  <c r="M160" s="1"/>
  <c r="M161" s="1"/>
  <c r="M162" s="1"/>
  <c r="M163" s="1"/>
  <c r="M164" s="1"/>
  <c r="M165" s="1"/>
  <c r="M166" s="1"/>
  <c r="M167" s="1"/>
  <c r="M168" s="1"/>
  <c r="M169" s="1"/>
  <c r="M170" s="1"/>
  <c r="M171" s="1"/>
  <c r="M172" s="1"/>
  <c r="M173" s="1"/>
  <c r="M174" s="1"/>
  <c r="M175" s="1"/>
  <c r="M176" s="1"/>
  <c r="M177" s="1"/>
  <c r="M178" s="1"/>
  <c r="M179" s="1"/>
  <c r="M180" s="1"/>
  <c r="M181" s="1"/>
  <c r="M182" s="1"/>
  <c r="M183" s="1"/>
  <c r="M184" s="1"/>
  <c r="M185" s="1"/>
  <c r="M186" s="1"/>
  <c r="M187" s="1"/>
  <c r="M188" s="1"/>
  <c r="M189" s="1"/>
  <c r="M190" s="1"/>
  <c r="M191" s="1"/>
  <c r="M192" s="1"/>
  <c r="M193" s="1"/>
  <c r="M194" s="1"/>
  <c r="M195" s="1"/>
  <c r="M196" s="1"/>
  <c r="M197" s="1"/>
  <c r="M198" s="1"/>
  <c r="M199" s="1"/>
  <c r="M200" s="1"/>
  <c r="M201" s="1"/>
  <c r="M202" s="1"/>
  <c r="M203" s="1"/>
  <c r="M204" s="1"/>
  <c r="M205" s="1"/>
  <c r="M206" s="1"/>
  <c r="M207" s="1"/>
  <c r="M208" s="1"/>
  <c r="M209" s="1"/>
  <c r="M210" s="1"/>
  <c r="M211" s="1"/>
  <c r="M212" s="1"/>
  <c r="M213" s="1"/>
  <c r="M214" s="1"/>
  <c r="M215" s="1"/>
  <c r="M216" s="1"/>
  <c r="M217" s="1"/>
  <c r="M218" s="1"/>
  <c r="M219" s="1"/>
  <c r="M220" s="1"/>
  <c r="M221" s="1"/>
  <c r="M222" s="1"/>
  <c r="M223" s="1"/>
  <c r="M224" s="1"/>
  <c r="M225" s="1"/>
  <c r="M226" s="1"/>
  <c r="M227" s="1"/>
  <c r="M228" s="1"/>
  <c r="M229" s="1"/>
  <c r="M230" s="1"/>
  <c r="M231" s="1"/>
  <c r="M232" s="1"/>
  <c r="M233" s="1"/>
  <c r="M234" s="1"/>
  <c r="M235" s="1"/>
  <c r="M236" s="1"/>
  <c r="M237" s="1"/>
  <c r="M238" s="1"/>
  <c r="M239" s="1"/>
  <c r="M240" s="1"/>
  <c r="M241" s="1"/>
  <c r="M242" s="1"/>
  <c r="M243" s="1"/>
  <c r="M244" s="1"/>
  <c r="M245" s="1"/>
  <c r="M246" s="1"/>
  <c r="M247" s="1"/>
  <c r="M248" s="1"/>
  <c r="M249" s="1"/>
  <c r="M250" s="1"/>
  <c r="M251" s="1"/>
  <c r="M252" s="1"/>
  <c r="M253" s="1"/>
  <c r="M254" s="1"/>
  <c r="M255" s="1"/>
  <c r="M256" s="1"/>
  <c r="V17"/>
  <c r="V18" l="1"/>
  <c r="V19" l="1"/>
  <c r="V20" l="1"/>
  <c r="V21" l="1"/>
  <c r="V22" l="1"/>
  <c r="V23" l="1"/>
  <c r="V24" l="1"/>
  <c r="V25" l="1"/>
  <c r="V26" l="1"/>
  <c r="V27" l="1"/>
  <c r="V28" l="1"/>
  <c r="V29" l="1"/>
  <c r="V30" l="1"/>
  <c r="G31" l="1"/>
  <c r="H31" s="1"/>
  <c r="V31" l="1"/>
  <c r="G32" l="1"/>
  <c r="H32" l="1"/>
  <c r="V32" l="1"/>
  <c r="G33" l="1"/>
  <c r="H33" l="1"/>
  <c r="V33" l="1"/>
  <c r="G34" l="1"/>
  <c r="H34" s="1"/>
  <c r="V34" l="1"/>
  <c r="G35" l="1"/>
  <c r="H35" s="1"/>
  <c r="V35" l="1"/>
  <c r="G36" l="1"/>
  <c r="H36" l="1"/>
  <c r="V36" l="1"/>
  <c r="G37" l="1"/>
  <c r="H37" l="1"/>
  <c r="V37" l="1"/>
  <c r="P37"/>
  <c r="R37" s="1"/>
  <c r="R257" s="1"/>
  <c r="Q37" l="1"/>
  <c r="G38" l="1"/>
  <c r="H38" s="1"/>
  <c r="P38" l="1"/>
  <c r="R38" s="1"/>
  <c r="Q38" l="1"/>
  <c r="V38"/>
  <c r="G39" l="1"/>
  <c r="H39" l="1"/>
  <c r="P39" l="1"/>
  <c r="R39" s="1"/>
  <c r="Q39" l="1"/>
  <c r="V39"/>
  <c r="G40" l="1"/>
  <c r="H40" l="1"/>
  <c r="P40" l="1"/>
  <c r="R40" s="1"/>
  <c r="Q40" l="1"/>
  <c r="V40"/>
  <c r="G41" l="1"/>
  <c r="H41" l="1"/>
  <c r="V41" l="1"/>
  <c r="P41"/>
  <c r="R41" s="1"/>
  <c r="Q41" l="1"/>
  <c r="G42" l="1"/>
  <c r="H42" l="1"/>
  <c r="P42" l="1"/>
  <c r="R42" s="1"/>
  <c r="Q42" l="1"/>
  <c r="V42" l="1"/>
  <c r="G43" l="1"/>
  <c r="H43" l="1"/>
  <c r="P43" l="1"/>
  <c r="R43" s="1"/>
  <c r="Q43" l="1"/>
  <c r="V43"/>
  <c r="G44" l="1"/>
  <c r="H44" l="1"/>
  <c r="V44" l="1"/>
  <c r="P44"/>
  <c r="R44" s="1"/>
  <c r="Q44" l="1"/>
  <c r="G45" l="1"/>
  <c r="H45" l="1"/>
  <c r="P45" l="1"/>
  <c r="R45" s="1"/>
  <c r="Q45" l="1"/>
  <c r="V45"/>
  <c r="G46" l="1"/>
  <c r="H46" l="1"/>
  <c r="P46" l="1"/>
  <c r="R46" s="1"/>
  <c r="Q46" l="1"/>
  <c r="V46"/>
  <c r="G47" l="1"/>
  <c r="H47" l="1"/>
  <c r="P47" l="1"/>
  <c r="R47" s="1"/>
  <c r="Q47" l="1"/>
  <c r="V47"/>
  <c r="G48" l="1"/>
  <c r="H48" l="1"/>
  <c r="V48" l="1"/>
  <c r="P48"/>
  <c r="R48" s="1"/>
  <c r="Q48" l="1"/>
  <c r="G49" l="1"/>
  <c r="H49" l="1"/>
  <c r="P49" l="1"/>
  <c r="R49" s="1"/>
  <c r="Q49" l="1"/>
  <c r="V49"/>
  <c r="G50" l="1"/>
  <c r="H50" l="1"/>
  <c r="V50" l="1"/>
  <c r="P50"/>
  <c r="R50" s="1"/>
  <c r="Q50" l="1"/>
  <c r="G51" l="1"/>
  <c r="H51" l="1"/>
  <c r="V51" l="1"/>
  <c r="P51"/>
  <c r="R51" s="1"/>
  <c r="Q51" l="1"/>
  <c r="G52" l="1"/>
  <c r="H52" l="1"/>
  <c r="V52" l="1"/>
  <c r="P52"/>
  <c r="R52" s="1"/>
  <c r="Q52" l="1"/>
  <c r="G53" l="1"/>
  <c r="H53" l="1"/>
  <c r="P53" l="1"/>
  <c r="R53" s="1"/>
  <c r="Q53" l="1"/>
  <c r="V53" l="1"/>
  <c r="G54" l="1"/>
  <c r="H54" l="1"/>
  <c r="P54" l="1"/>
  <c r="R54" s="1"/>
  <c r="V54" l="1"/>
  <c r="Q54"/>
  <c r="G55" l="1"/>
  <c r="H55" l="1"/>
  <c r="P55" l="1"/>
  <c r="R55" s="1"/>
  <c r="Q55" l="1"/>
  <c r="V55"/>
  <c r="G56" l="1"/>
  <c r="H56" l="1"/>
  <c r="P56" l="1"/>
  <c r="R56" s="1"/>
  <c r="Q56" l="1"/>
  <c r="V56"/>
  <c r="G57" l="1"/>
  <c r="H57" l="1"/>
  <c r="P57" l="1"/>
  <c r="R57" s="1"/>
  <c r="V57"/>
  <c r="Q57" l="1"/>
  <c r="G58" l="1"/>
  <c r="H58" s="1"/>
  <c r="P58" l="1"/>
  <c r="R58" s="1"/>
  <c r="Q58" l="1"/>
  <c r="V58" l="1"/>
  <c r="G59" l="1"/>
  <c r="H59" s="1"/>
  <c r="P59" l="1"/>
  <c r="R59" s="1"/>
  <c r="Q59" l="1"/>
  <c r="V59" l="1"/>
  <c r="G60" l="1"/>
  <c r="H60" s="1"/>
  <c r="P60" l="1"/>
  <c r="R60" s="1"/>
  <c r="Q60" l="1"/>
  <c r="V60" l="1"/>
  <c r="G61" l="1"/>
  <c r="H61" l="1"/>
  <c r="P61" l="1"/>
  <c r="R61" s="1"/>
  <c r="Q61" l="1"/>
  <c r="V61"/>
  <c r="G62" l="1"/>
  <c r="H62" l="1"/>
  <c r="P62" l="1"/>
  <c r="R62" s="1"/>
  <c r="Q62" l="1"/>
  <c r="V62"/>
  <c r="G63" l="1"/>
  <c r="H63" l="1"/>
  <c r="P63" l="1"/>
  <c r="R63" s="1"/>
  <c r="Q63" l="1"/>
  <c r="V63"/>
  <c r="G64" l="1"/>
  <c r="H64" l="1"/>
  <c r="P64" l="1"/>
  <c r="R64" s="1"/>
  <c r="V64"/>
  <c r="Q64" l="1"/>
  <c r="G65" l="1"/>
  <c r="H65" l="1"/>
  <c r="P65" l="1"/>
  <c r="R65" s="1"/>
  <c r="Q65" l="1"/>
  <c r="V65"/>
  <c r="G66" l="1"/>
  <c r="H66" l="1"/>
  <c r="P66" l="1"/>
  <c r="R66" s="1"/>
  <c r="Q66" l="1"/>
  <c r="V66"/>
  <c r="G67" l="1"/>
  <c r="H67" l="1"/>
  <c r="P67" l="1"/>
  <c r="R67" s="1"/>
  <c r="Q67" l="1"/>
  <c r="V67"/>
  <c r="G68" l="1"/>
  <c r="H68" l="1"/>
  <c r="P68" l="1"/>
  <c r="R68" s="1"/>
  <c r="Q68" l="1"/>
  <c r="V68"/>
  <c r="G69" l="1"/>
  <c r="H69" l="1"/>
  <c r="P69" l="1"/>
  <c r="R69" s="1"/>
  <c r="Q69" l="1"/>
  <c r="V69"/>
  <c r="G70" l="1"/>
  <c r="H70" l="1"/>
  <c r="P70" l="1"/>
  <c r="R70" s="1"/>
  <c r="Q70" l="1"/>
  <c r="V70"/>
  <c r="G71" l="1"/>
  <c r="H71" l="1"/>
  <c r="V71" l="1"/>
  <c r="P71"/>
  <c r="R71" s="1"/>
  <c r="Q71" l="1"/>
  <c r="G72" l="1"/>
  <c r="H72" l="1"/>
  <c r="P72" l="1"/>
  <c r="R72" s="1"/>
  <c r="V72"/>
  <c r="Q72" l="1"/>
  <c r="G73" l="1"/>
  <c r="H73" l="1"/>
  <c r="P73" l="1"/>
  <c r="R73" s="1"/>
  <c r="Q73" l="1"/>
  <c r="V73"/>
  <c r="G74" l="1"/>
  <c r="H74" l="1"/>
  <c r="P74" l="1"/>
  <c r="R74" s="1"/>
  <c r="Q74" l="1"/>
  <c r="V74"/>
  <c r="G75" l="1"/>
  <c r="H75" l="1"/>
  <c r="P75" l="1"/>
  <c r="R75" s="1"/>
  <c r="Q75" l="1"/>
  <c r="V75"/>
  <c r="G76" l="1"/>
  <c r="H76" l="1"/>
  <c r="P76" l="1"/>
  <c r="R76" s="1"/>
  <c r="Q76" l="1"/>
  <c r="V76"/>
  <c r="G77" l="1"/>
  <c r="H77" l="1"/>
  <c r="P77" l="1"/>
  <c r="R77" s="1"/>
  <c r="Q77" l="1"/>
  <c r="V77"/>
  <c r="G78" l="1"/>
  <c r="H78" l="1"/>
  <c r="V78" l="1"/>
  <c r="P78"/>
  <c r="R78" s="1"/>
  <c r="Q78" l="1"/>
  <c r="G79" l="1"/>
  <c r="H79" l="1"/>
  <c r="P79" l="1"/>
  <c r="R79" s="1"/>
  <c r="Q79" l="1"/>
  <c r="V79" l="1"/>
  <c r="G80" l="1"/>
  <c r="H80" s="1"/>
  <c r="P80" l="1"/>
  <c r="R80" s="1"/>
  <c r="Q80" l="1"/>
  <c r="V80"/>
  <c r="G81" l="1"/>
  <c r="H81" l="1"/>
  <c r="P81" l="1"/>
  <c r="R81" s="1"/>
  <c r="V81"/>
  <c r="Q81" l="1"/>
  <c r="G82" l="1"/>
  <c r="H82" l="1"/>
  <c r="P82" l="1"/>
  <c r="R82" s="1"/>
  <c r="Q82" l="1"/>
  <c r="V82"/>
  <c r="G83" l="1"/>
  <c r="H83" l="1"/>
  <c r="V83" l="1"/>
  <c r="P83"/>
  <c r="R83" s="1"/>
  <c r="Q83" l="1"/>
  <c r="G84" l="1"/>
  <c r="H84" l="1"/>
  <c r="V84" l="1"/>
  <c r="P84"/>
  <c r="R84" s="1"/>
  <c r="Q84" l="1"/>
  <c r="G85" l="1"/>
  <c r="H85" l="1"/>
  <c r="P85" l="1"/>
  <c r="R85" s="1"/>
  <c r="Q85" l="1"/>
  <c r="V85"/>
  <c r="G86" l="1"/>
  <c r="H86" s="1"/>
  <c r="P86" l="1"/>
  <c r="R86" s="1"/>
  <c r="Q86" l="1"/>
  <c r="V86" l="1"/>
  <c r="G87" l="1"/>
  <c r="H87" s="1"/>
  <c r="P87" l="1"/>
  <c r="R87" s="1"/>
  <c r="Q87" l="1"/>
  <c r="V87" l="1"/>
  <c r="G88" l="1"/>
  <c r="H88" s="1"/>
  <c r="P88" l="1"/>
  <c r="R88" s="1"/>
  <c r="Q88" l="1"/>
  <c r="V88" l="1"/>
  <c r="G89" l="1"/>
  <c r="H89" s="1"/>
  <c r="P89" l="1"/>
  <c r="R89" s="1"/>
  <c r="Q89" l="1"/>
  <c r="V89" l="1"/>
  <c r="G90" l="1"/>
  <c r="H90" s="1"/>
  <c r="P90" l="1"/>
  <c r="R90" s="1"/>
  <c r="Q90" l="1"/>
  <c r="V90" l="1"/>
  <c r="G91" l="1"/>
  <c r="H91" l="1"/>
  <c r="P91" l="1"/>
  <c r="R91" s="1"/>
  <c r="Q91" l="1"/>
  <c r="V91"/>
  <c r="G92" l="1"/>
  <c r="H92" l="1"/>
  <c r="P92" l="1"/>
  <c r="R92" s="1"/>
  <c r="V92" l="1"/>
  <c r="Q92"/>
  <c r="G93" l="1"/>
  <c r="H93" l="1"/>
  <c r="P93" l="1"/>
  <c r="R93" s="1"/>
  <c r="Q93" l="1"/>
  <c r="V93"/>
  <c r="G94" l="1"/>
  <c r="H94" l="1"/>
  <c r="P94" l="1"/>
  <c r="R94" s="1"/>
  <c r="Q94" l="1"/>
  <c r="V94"/>
  <c r="G95" l="1"/>
  <c r="H95" l="1"/>
  <c r="V95" l="1"/>
  <c r="P95"/>
  <c r="R95" s="1"/>
  <c r="Q95" l="1"/>
  <c r="G96" l="1"/>
  <c r="H96" l="1"/>
  <c r="V96" l="1"/>
  <c r="P96"/>
  <c r="R96" s="1"/>
  <c r="Q96" l="1"/>
  <c r="G97" l="1"/>
  <c r="H97" l="1"/>
  <c r="P97" l="1"/>
  <c r="R97" s="1"/>
  <c r="Q97" l="1"/>
  <c r="V97"/>
  <c r="G98" l="1"/>
  <c r="H98" l="1"/>
  <c r="P98" l="1"/>
  <c r="R98" s="1"/>
  <c r="Q98" l="1"/>
  <c r="V98"/>
  <c r="G99" l="1"/>
  <c r="H99" l="1"/>
  <c r="P99" l="1"/>
  <c r="R99" s="1"/>
  <c r="V99"/>
  <c r="Q99" l="1"/>
  <c r="G100" l="1"/>
  <c r="H100" l="1"/>
  <c r="P100" l="1"/>
  <c r="R100" s="1"/>
  <c r="V100" l="1"/>
  <c r="Q100"/>
  <c r="G101" l="1"/>
  <c r="H101" l="1"/>
  <c r="P101" l="1"/>
  <c r="R101" s="1"/>
  <c r="Q101" l="1"/>
  <c r="V101"/>
  <c r="G102" l="1"/>
  <c r="H102" l="1"/>
  <c r="P102" l="1"/>
  <c r="R102" s="1"/>
  <c r="Q102" l="1"/>
  <c r="V102"/>
  <c r="G103" l="1"/>
  <c r="H103" l="1"/>
  <c r="P103" l="1"/>
  <c r="R103" s="1"/>
  <c r="Q103" l="1"/>
  <c r="V103"/>
  <c r="G104" l="1"/>
  <c r="H104" l="1"/>
  <c r="P104" l="1"/>
  <c r="R104" s="1"/>
  <c r="V104"/>
  <c r="Q104" l="1"/>
  <c r="G105" l="1"/>
  <c r="H105" l="1"/>
  <c r="P105" l="1"/>
  <c r="R105" s="1"/>
  <c r="V105" l="1"/>
  <c r="Q105"/>
  <c r="G106" l="1"/>
  <c r="H106" l="1"/>
  <c r="V106" l="1"/>
  <c r="P106"/>
  <c r="R106" s="1"/>
  <c r="Q106" l="1"/>
  <c r="G107" l="1"/>
  <c r="H107" l="1"/>
  <c r="P107" l="1"/>
  <c r="R107" s="1"/>
  <c r="Q107" l="1"/>
  <c r="V107" l="1"/>
  <c r="G108" l="1"/>
  <c r="H108" l="1"/>
  <c r="P108" l="1"/>
  <c r="R108" s="1"/>
  <c r="Q108" l="1"/>
  <c r="V108"/>
  <c r="G109" l="1"/>
  <c r="H109" l="1"/>
  <c r="P109" l="1"/>
  <c r="R109" s="1"/>
  <c r="Q109" l="1"/>
  <c r="V109"/>
  <c r="G110" l="1"/>
  <c r="H110" l="1"/>
  <c r="P110" l="1"/>
  <c r="R110" s="1"/>
  <c r="Q110" l="1"/>
  <c r="V110"/>
  <c r="G111" l="1"/>
  <c r="H111" l="1"/>
  <c r="V111" l="1"/>
  <c r="P111"/>
  <c r="R111" s="1"/>
  <c r="Q111" l="1"/>
  <c r="G112" l="1"/>
  <c r="H112" l="1"/>
  <c r="P112" l="1"/>
  <c r="R112" s="1"/>
  <c r="V112"/>
  <c r="Q112" l="1"/>
  <c r="G113" l="1"/>
  <c r="H113" l="1"/>
  <c r="P113" l="1"/>
  <c r="R113" s="1"/>
  <c r="Q113" l="1"/>
  <c r="V113"/>
  <c r="G114" l="1"/>
  <c r="H114" l="1"/>
  <c r="P114" l="1"/>
  <c r="R114" s="1"/>
  <c r="Q114" l="1"/>
  <c r="V114"/>
  <c r="G115" l="1"/>
  <c r="H115" l="1"/>
  <c r="V115" l="1"/>
  <c r="P115"/>
  <c r="R115" s="1"/>
  <c r="Q115" l="1"/>
  <c r="G116" l="1"/>
  <c r="H116" s="1"/>
  <c r="V116" l="1"/>
  <c r="P116"/>
  <c r="R116" s="1"/>
  <c r="Q116" l="1"/>
  <c r="G117" l="1"/>
  <c r="H117" l="1"/>
  <c r="V117" l="1"/>
  <c r="P117"/>
  <c r="R117" s="1"/>
  <c r="Q117" l="1"/>
  <c r="G118" l="1"/>
  <c r="H118" l="1"/>
  <c r="V118" l="1"/>
  <c r="P118"/>
  <c r="R118" s="1"/>
  <c r="Q118" l="1"/>
  <c r="G119" l="1"/>
  <c r="H119" l="1"/>
  <c r="P119" l="1"/>
  <c r="R119" s="1"/>
  <c r="Q119" l="1"/>
  <c r="V119" l="1"/>
  <c r="G120" l="1"/>
  <c r="H120" l="1"/>
  <c r="P120" l="1"/>
  <c r="R120" s="1"/>
  <c r="V120"/>
  <c r="Q120" l="1"/>
  <c r="G121" l="1"/>
  <c r="H121" l="1"/>
  <c r="V121" l="1"/>
  <c r="P121"/>
  <c r="R121" s="1"/>
  <c r="Q121" l="1"/>
  <c r="G122" l="1"/>
  <c r="H122" s="1"/>
  <c r="P122" l="1"/>
  <c r="R122" s="1"/>
  <c r="Q122" l="1"/>
  <c r="V122"/>
  <c r="G123" l="1"/>
  <c r="H123" l="1"/>
  <c r="P123" l="1"/>
  <c r="R123" s="1"/>
  <c r="Q123" l="1"/>
  <c r="V123"/>
  <c r="G124" l="1"/>
  <c r="H124" l="1"/>
  <c r="P124" l="1"/>
  <c r="R124" s="1"/>
  <c r="Q124" l="1"/>
  <c r="V124"/>
  <c r="G125" l="1"/>
  <c r="H125" l="1"/>
  <c r="P125" l="1"/>
  <c r="R125" s="1"/>
  <c r="Q125" l="1"/>
  <c r="V125"/>
  <c r="G126" l="1"/>
  <c r="H126" l="1"/>
  <c r="P126" l="1"/>
  <c r="R126" s="1"/>
  <c r="Q126" l="1"/>
  <c r="V126"/>
  <c r="G127" l="1"/>
  <c r="H127" l="1"/>
  <c r="V127" l="1"/>
  <c r="P127"/>
  <c r="R127" s="1"/>
  <c r="Q127" l="1"/>
  <c r="G128" l="1"/>
  <c r="H128" s="1"/>
  <c r="P128" l="1"/>
  <c r="R128" s="1"/>
  <c r="Q128" l="1"/>
  <c r="V128"/>
  <c r="G129" l="1"/>
  <c r="H129" l="1"/>
  <c r="V129" l="1"/>
  <c r="P129"/>
  <c r="R129" s="1"/>
  <c r="Q129" l="1"/>
  <c r="G130" l="1"/>
  <c r="H130" l="1"/>
  <c r="P130" l="1"/>
  <c r="R130" s="1"/>
  <c r="Q130" l="1"/>
  <c r="V130"/>
  <c r="G131" l="1"/>
  <c r="H131" l="1"/>
  <c r="P131" l="1"/>
  <c r="R131" s="1"/>
  <c r="Q131" l="1"/>
  <c r="V131"/>
  <c r="G132" l="1"/>
  <c r="H132" l="1"/>
  <c r="P132" l="1"/>
  <c r="R132" s="1"/>
  <c r="Q132" l="1"/>
  <c r="V132"/>
  <c r="G133" l="1"/>
  <c r="H133" l="1"/>
  <c r="P133" l="1"/>
  <c r="R133" s="1"/>
  <c r="V133" l="1"/>
  <c r="Q133"/>
  <c r="G134" l="1"/>
  <c r="H134" l="1"/>
  <c r="P134" l="1"/>
  <c r="R134" s="1"/>
  <c r="Q134" l="1"/>
  <c r="V134"/>
  <c r="G135" l="1"/>
  <c r="H135" l="1"/>
  <c r="P135" l="1"/>
  <c r="R135" s="1"/>
  <c r="Q135" l="1"/>
  <c r="V135"/>
  <c r="G136" l="1"/>
  <c r="H136" l="1"/>
  <c r="V136" l="1"/>
  <c r="P136"/>
  <c r="R136" s="1"/>
  <c r="Q136" l="1"/>
  <c r="G137" l="1"/>
  <c r="H137" l="1"/>
  <c r="P137" l="1"/>
  <c r="R137" s="1"/>
  <c r="Q137" l="1"/>
  <c r="V137"/>
  <c r="G138" l="1"/>
  <c r="H138" l="1"/>
  <c r="P138" l="1"/>
  <c r="R138" s="1"/>
  <c r="Q138" l="1"/>
  <c r="V138"/>
  <c r="G139" l="1"/>
  <c r="H139" l="1"/>
  <c r="P139" l="1"/>
  <c r="R139" s="1"/>
  <c r="Q139" l="1"/>
  <c r="V139"/>
  <c r="G140" l="1"/>
  <c r="H140" l="1"/>
  <c r="V140" l="1"/>
  <c r="P140"/>
  <c r="R140" s="1"/>
  <c r="Q140" l="1"/>
  <c r="G141" l="1"/>
  <c r="H141" l="1"/>
  <c r="P141" l="1"/>
  <c r="R141" s="1"/>
  <c r="V141" l="1"/>
  <c r="Q141"/>
  <c r="G142" l="1"/>
  <c r="H142" s="1"/>
  <c r="V142" l="1"/>
  <c r="P142"/>
  <c r="R142" s="1"/>
  <c r="Q142" l="1"/>
  <c r="G143" l="1"/>
  <c r="H143" l="1"/>
  <c r="P143" l="1"/>
  <c r="R143" s="1"/>
  <c r="V143" l="1"/>
  <c r="Q143"/>
  <c r="G144" l="1"/>
  <c r="H144" s="1"/>
  <c r="P144" l="1"/>
  <c r="R144" s="1"/>
  <c r="Q144" l="1"/>
  <c r="V144"/>
  <c r="G145" l="1"/>
  <c r="H145" l="1"/>
  <c r="V145" l="1"/>
  <c r="P145"/>
  <c r="R145" s="1"/>
  <c r="Q145" l="1"/>
  <c r="G146" l="1"/>
  <c r="H146" l="1"/>
  <c r="V146" l="1"/>
  <c r="P146"/>
  <c r="R146" s="1"/>
  <c r="Q146" l="1"/>
  <c r="G147" l="1"/>
  <c r="H147" l="1"/>
  <c r="V147" l="1"/>
  <c r="P147"/>
  <c r="R147" s="1"/>
  <c r="Q147" l="1"/>
  <c r="G148" l="1"/>
  <c r="H148" l="1"/>
  <c r="P148" l="1"/>
  <c r="R148" s="1"/>
  <c r="Q148" l="1"/>
  <c r="V148"/>
  <c r="G149" l="1"/>
  <c r="H149" l="1"/>
  <c r="P149" l="1"/>
  <c r="R149" s="1"/>
  <c r="Q149" l="1"/>
  <c r="V149"/>
  <c r="G150" l="1"/>
  <c r="H150" l="1"/>
  <c r="P150" l="1"/>
  <c r="R150" s="1"/>
  <c r="Q150" l="1"/>
  <c r="V150"/>
  <c r="G151" l="1"/>
  <c r="H151" l="1"/>
  <c r="V151" l="1"/>
  <c r="P151"/>
  <c r="R151" s="1"/>
  <c r="Q151" l="1"/>
  <c r="G152" l="1"/>
  <c r="H152" l="1"/>
  <c r="P152" l="1"/>
  <c r="R152" s="1"/>
  <c r="Q152" l="1"/>
  <c r="V152"/>
  <c r="G153" l="1"/>
  <c r="H153" l="1"/>
  <c r="P153" l="1"/>
  <c r="R153" s="1"/>
  <c r="V153" l="1"/>
  <c r="Q153"/>
  <c r="G154" l="1"/>
  <c r="H154" s="1"/>
  <c r="V154" l="1"/>
  <c r="P154"/>
  <c r="R154" s="1"/>
  <c r="Q154" l="1"/>
  <c r="G155" l="1"/>
  <c r="H155" l="1"/>
  <c r="V155" l="1"/>
  <c r="P155"/>
  <c r="R155" s="1"/>
  <c r="Q155" l="1"/>
  <c r="G156" l="1"/>
  <c r="H156" l="1"/>
  <c r="P156" l="1"/>
  <c r="R156" s="1"/>
  <c r="Q156" l="1"/>
  <c r="V156"/>
  <c r="G157" l="1"/>
  <c r="H157" l="1"/>
  <c r="P157" l="1"/>
  <c r="R157" s="1"/>
  <c r="Q157" l="1"/>
  <c r="V157"/>
  <c r="G158" l="1"/>
  <c r="H158" l="1"/>
  <c r="P158" l="1"/>
  <c r="R158" s="1"/>
  <c r="Q158" l="1"/>
  <c r="V158"/>
  <c r="G159" l="1"/>
  <c r="H159" l="1"/>
  <c r="P159" l="1"/>
  <c r="R159" s="1"/>
  <c r="Q159" l="1"/>
  <c r="V159"/>
  <c r="G160" l="1"/>
  <c r="H160" l="1"/>
  <c r="P160" l="1"/>
  <c r="R160" s="1"/>
  <c r="Q160" l="1"/>
  <c r="V160"/>
  <c r="G161" l="1"/>
  <c r="H161" l="1"/>
  <c r="V161" l="1"/>
  <c r="P161"/>
  <c r="R161" s="1"/>
  <c r="Q161" l="1"/>
  <c r="G162" l="1"/>
  <c r="H162" l="1"/>
  <c r="V162" l="1"/>
  <c r="P162"/>
  <c r="R162" s="1"/>
  <c r="Q162" l="1"/>
  <c r="G163" l="1"/>
  <c r="H163" l="1"/>
  <c r="P163" l="1"/>
  <c r="R163" s="1"/>
  <c r="Q163" l="1"/>
  <c r="V163"/>
  <c r="G164" l="1"/>
  <c r="H164" l="1"/>
  <c r="P164" l="1"/>
  <c r="R164" s="1"/>
  <c r="Q164" l="1"/>
  <c r="V164"/>
  <c r="G165" l="1"/>
  <c r="H165" l="1"/>
  <c r="V165" l="1"/>
  <c r="P165"/>
  <c r="R165" s="1"/>
  <c r="Q165" l="1"/>
  <c r="G166" l="1"/>
  <c r="H166" l="1"/>
  <c r="V166" l="1"/>
  <c r="P166"/>
  <c r="R166" s="1"/>
  <c r="Q166" l="1"/>
  <c r="G167" l="1"/>
  <c r="H167" l="1"/>
  <c r="P167" l="1"/>
  <c r="R167" s="1"/>
  <c r="Q167" l="1"/>
  <c r="V167"/>
  <c r="G168" l="1"/>
  <c r="H168" l="1"/>
  <c r="P168" l="1"/>
  <c r="R168" s="1"/>
  <c r="Q168" l="1"/>
  <c r="V168"/>
  <c r="G169" l="1"/>
  <c r="H169" l="1"/>
  <c r="P169" l="1"/>
  <c r="R169" s="1"/>
  <c r="Q169" l="1"/>
  <c r="V169"/>
  <c r="G170" l="1"/>
  <c r="H170" l="1"/>
  <c r="P170" l="1"/>
  <c r="R170" s="1"/>
  <c r="V170"/>
  <c r="Q170" l="1"/>
  <c r="G171" l="1"/>
  <c r="H171" l="1"/>
  <c r="P171" l="1"/>
  <c r="R171" s="1"/>
  <c r="Q171" l="1"/>
  <c r="V171"/>
  <c r="G172" l="1"/>
  <c r="H172" l="1"/>
  <c r="P172" l="1"/>
  <c r="R172" s="1"/>
  <c r="Q172" l="1"/>
  <c r="V172"/>
  <c r="G173" l="1"/>
  <c r="H173" l="1"/>
  <c r="P173" l="1"/>
  <c r="R173" s="1"/>
  <c r="Q173" l="1"/>
  <c r="V173"/>
  <c r="G174" l="1"/>
  <c r="H174" l="1"/>
  <c r="P174" l="1"/>
  <c r="R174" s="1"/>
  <c r="Q174" l="1"/>
  <c r="V174"/>
  <c r="G175" l="1"/>
  <c r="H175" l="1"/>
  <c r="V175" l="1"/>
  <c r="P175"/>
  <c r="R175" s="1"/>
  <c r="Q175" l="1"/>
  <c r="G176" l="1"/>
  <c r="H176" l="1"/>
  <c r="P176" l="1"/>
  <c r="R176" s="1"/>
  <c r="Q176" l="1"/>
  <c r="V176"/>
  <c r="G177" l="1"/>
  <c r="H177" l="1"/>
  <c r="P177" l="1"/>
  <c r="R177" s="1"/>
  <c r="Q177" l="1"/>
  <c r="V177"/>
  <c r="G178" l="1"/>
  <c r="H178" l="1"/>
  <c r="V178" l="1"/>
  <c r="P178"/>
  <c r="R178" s="1"/>
  <c r="Q178" l="1"/>
  <c r="G179" l="1"/>
  <c r="H179" l="1"/>
  <c r="V179" l="1"/>
  <c r="P179"/>
  <c r="R179" s="1"/>
  <c r="Q179" l="1"/>
  <c r="G180" l="1"/>
  <c r="H180" l="1"/>
  <c r="P180" l="1"/>
  <c r="R180" s="1"/>
  <c r="Q180" l="1"/>
  <c r="V180"/>
  <c r="G181" l="1"/>
  <c r="H181" l="1"/>
  <c r="P181" l="1"/>
  <c r="R181" s="1"/>
  <c r="Q181" l="1"/>
  <c r="V181"/>
  <c r="G182" l="1"/>
  <c r="H182" l="1"/>
  <c r="P182" l="1"/>
  <c r="R182" s="1"/>
  <c r="Q182" l="1"/>
  <c r="V182"/>
  <c r="G183" l="1"/>
  <c r="H183" l="1"/>
  <c r="P183" l="1"/>
  <c r="R183" s="1"/>
  <c r="V183"/>
  <c r="Q183" l="1"/>
  <c r="G184" l="1"/>
  <c r="H184" l="1"/>
  <c r="V184" l="1"/>
  <c r="P184"/>
  <c r="R184" s="1"/>
  <c r="Q184" l="1"/>
  <c r="G185" l="1"/>
  <c r="H185" l="1"/>
  <c r="P185" l="1"/>
  <c r="R185" s="1"/>
  <c r="Q185" l="1"/>
  <c r="V185"/>
  <c r="G186" l="1"/>
  <c r="H186" l="1"/>
  <c r="P186" l="1"/>
  <c r="R186" s="1"/>
  <c r="Q186" l="1"/>
  <c r="V186"/>
  <c r="G187" l="1"/>
  <c r="H187" s="1"/>
  <c r="P187" l="1"/>
  <c r="R187" s="1"/>
  <c r="V187" l="1"/>
  <c r="Q187"/>
  <c r="G188" l="1"/>
  <c r="H188" l="1"/>
  <c r="P188" l="1"/>
  <c r="R188" s="1"/>
  <c r="Q188" l="1"/>
  <c r="V188"/>
  <c r="G189" l="1"/>
  <c r="H189" l="1"/>
  <c r="P189" l="1"/>
  <c r="R189" s="1"/>
  <c r="Q189" l="1"/>
  <c r="V189"/>
  <c r="G190" l="1"/>
  <c r="H190" l="1"/>
  <c r="V190" l="1"/>
  <c r="P190"/>
  <c r="R190" s="1"/>
  <c r="Q190" l="1"/>
  <c r="G191" l="1"/>
  <c r="H191" l="1"/>
  <c r="P191" l="1"/>
  <c r="R191" s="1"/>
  <c r="V191"/>
  <c r="Q191" l="1"/>
  <c r="G192" l="1"/>
  <c r="H192" l="1"/>
  <c r="P192" l="1"/>
  <c r="R192" s="1"/>
  <c r="Q192" l="1"/>
  <c r="V192"/>
  <c r="G193" l="1"/>
  <c r="H193" l="1"/>
  <c r="P193" l="1"/>
  <c r="R193" s="1"/>
  <c r="Q193" l="1"/>
  <c r="V193"/>
  <c r="G194" l="1"/>
  <c r="H194" l="1"/>
  <c r="P194" l="1"/>
  <c r="R194" s="1"/>
  <c r="Q194" l="1"/>
  <c r="V194"/>
  <c r="G195" l="1"/>
  <c r="H195" l="1"/>
  <c r="V195" l="1"/>
  <c r="P195"/>
  <c r="R195" s="1"/>
  <c r="Q195" l="1"/>
  <c r="G196" l="1"/>
  <c r="H196" l="1"/>
  <c r="P196" l="1"/>
  <c r="R196" s="1"/>
  <c r="Q196" l="1"/>
  <c r="V196"/>
  <c r="G197" l="1"/>
  <c r="H197" l="1"/>
  <c r="P197" l="1"/>
  <c r="R197" s="1"/>
  <c r="Q197" l="1"/>
  <c r="V197"/>
  <c r="G198" l="1"/>
  <c r="H198" l="1"/>
  <c r="P198" l="1"/>
  <c r="R198" s="1"/>
  <c r="Q198" l="1"/>
  <c r="V198"/>
  <c r="G199" l="1"/>
  <c r="H199" l="1"/>
  <c r="P199" l="1"/>
  <c r="R199" s="1"/>
  <c r="V199" l="1"/>
  <c r="Q199"/>
  <c r="G200" l="1"/>
  <c r="H200" l="1"/>
  <c r="V200" l="1"/>
  <c r="P200"/>
  <c r="R200" s="1"/>
  <c r="Q200" l="1"/>
  <c r="G201" l="1"/>
  <c r="H201" l="1"/>
  <c r="P201" l="1"/>
  <c r="R201" s="1"/>
  <c r="Q201" l="1"/>
  <c r="V201"/>
  <c r="G202" l="1"/>
  <c r="H202" l="1"/>
  <c r="P202" l="1"/>
  <c r="R202" s="1"/>
  <c r="Q202" l="1"/>
  <c r="V202"/>
  <c r="G203" l="1"/>
  <c r="H203" s="1"/>
  <c r="P203" l="1"/>
  <c r="R203" s="1"/>
  <c r="V203" l="1"/>
  <c r="Q203"/>
  <c r="G204" l="1"/>
  <c r="H204" s="1"/>
  <c r="P204" l="1"/>
  <c r="R204" s="1"/>
  <c r="Q204" l="1"/>
  <c r="V204" l="1"/>
  <c r="G205" l="1"/>
  <c r="H205" s="1"/>
  <c r="P205" l="1"/>
  <c r="R205" s="1"/>
  <c r="Q205" l="1"/>
  <c r="V205"/>
  <c r="G206" l="1"/>
  <c r="H206" s="1"/>
  <c r="P206" l="1"/>
  <c r="R206" s="1"/>
  <c r="Q206" l="1"/>
  <c r="V206" l="1"/>
  <c r="G207" l="1"/>
  <c r="H207" s="1"/>
  <c r="P207" l="1"/>
  <c r="R207" s="1"/>
  <c r="Q207" l="1"/>
  <c r="V207" l="1"/>
  <c r="G208" l="1"/>
  <c r="H208" s="1"/>
  <c r="P208" l="1"/>
  <c r="R208" s="1"/>
  <c r="Q208" l="1"/>
  <c r="V208" l="1"/>
  <c r="G209" l="1"/>
  <c r="H209" s="1"/>
  <c r="P209" l="1"/>
  <c r="R209" s="1"/>
  <c r="Q209" l="1"/>
  <c r="V209" l="1"/>
  <c r="G210" l="1"/>
  <c r="H210" s="1"/>
  <c r="P210" l="1"/>
  <c r="R210" s="1"/>
  <c r="Q210" l="1"/>
  <c r="V210" l="1"/>
  <c r="G211" l="1"/>
  <c r="H211" s="1"/>
  <c r="P211" l="1"/>
  <c r="R211" s="1"/>
  <c r="Q211" l="1"/>
  <c r="V211" l="1"/>
  <c r="G212" l="1"/>
  <c r="H212" l="1"/>
  <c r="P212" l="1"/>
  <c r="R212" s="1"/>
  <c r="Q212" l="1"/>
  <c r="V212"/>
  <c r="G213" l="1"/>
  <c r="H213" l="1"/>
  <c r="P213" l="1"/>
  <c r="R213" s="1"/>
  <c r="Q213" l="1"/>
  <c r="V213"/>
  <c r="G214" l="1"/>
  <c r="H214" l="1"/>
  <c r="P214" l="1"/>
  <c r="R214" s="1"/>
  <c r="Q214" l="1"/>
  <c r="V214"/>
  <c r="G215" l="1"/>
  <c r="H215" l="1"/>
  <c r="P215" l="1"/>
  <c r="R215" s="1"/>
  <c r="Q215" l="1"/>
  <c r="V215"/>
  <c r="G216" l="1"/>
  <c r="H216" l="1"/>
  <c r="P216" l="1"/>
  <c r="R216" s="1"/>
  <c r="Q216" l="1"/>
  <c r="V216"/>
  <c r="G217" l="1"/>
  <c r="H217" l="1"/>
  <c r="P217" l="1"/>
  <c r="R217" s="1"/>
  <c r="Q217" l="1"/>
  <c r="V217"/>
  <c r="G218" l="1"/>
  <c r="H218" l="1"/>
  <c r="P218" l="1"/>
  <c r="R218" s="1"/>
  <c r="Q218" l="1"/>
  <c r="V218"/>
  <c r="G219" l="1"/>
  <c r="H219" l="1"/>
  <c r="P219" l="1"/>
  <c r="R219" s="1"/>
  <c r="Q219" l="1"/>
  <c r="V219"/>
  <c r="G220" l="1"/>
  <c r="H220" l="1"/>
  <c r="P220" l="1"/>
  <c r="R220" s="1"/>
  <c r="Q220" l="1"/>
  <c r="V220"/>
  <c r="G221" l="1"/>
  <c r="H221" l="1"/>
  <c r="P221" l="1"/>
  <c r="R221" s="1"/>
  <c r="Q221" l="1"/>
  <c r="V221"/>
  <c r="G222" l="1"/>
  <c r="H222" l="1"/>
  <c r="V222" l="1"/>
  <c r="P222"/>
  <c r="R222" s="1"/>
  <c r="Q222" l="1"/>
  <c r="G223" l="1"/>
  <c r="H223" l="1"/>
  <c r="P223" l="1"/>
  <c r="R223" s="1"/>
  <c r="V223" l="1"/>
  <c r="Q223"/>
  <c r="G224" l="1"/>
  <c r="H224" l="1"/>
  <c r="P224" l="1"/>
  <c r="R224" s="1"/>
  <c r="Q224" l="1"/>
  <c r="V224"/>
  <c r="G225" l="1"/>
  <c r="H225" l="1"/>
  <c r="V225" l="1"/>
  <c r="P225"/>
  <c r="R225" s="1"/>
  <c r="Q225" l="1"/>
  <c r="G226" l="1"/>
  <c r="H226" l="1"/>
  <c r="P226" l="1"/>
  <c r="R226" s="1"/>
  <c r="Q226" l="1"/>
  <c r="V226"/>
  <c r="G227" l="1"/>
  <c r="H227" l="1"/>
  <c r="P227" l="1"/>
  <c r="R227" s="1"/>
  <c r="Q227" l="1"/>
  <c r="V227"/>
  <c r="G228" l="1"/>
  <c r="H228" l="1"/>
  <c r="P228" l="1"/>
  <c r="R228" s="1"/>
  <c r="Q228" l="1"/>
  <c r="V228"/>
  <c r="G229" l="1"/>
  <c r="H229" l="1"/>
  <c r="P229" l="1"/>
  <c r="R229" s="1"/>
  <c r="Q229" l="1"/>
  <c r="V229"/>
  <c r="G230" l="1"/>
  <c r="H230" l="1"/>
  <c r="P230" l="1"/>
  <c r="R230" s="1"/>
  <c r="Q230" l="1"/>
  <c r="V230"/>
  <c r="G231" l="1"/>
  <c r="H231" l="1"/>
  <c r="P231" l="1"/>
  <c r="R231" s="1"/>
  <c r="Q231" l="1"/>
  <c r="V231"/>
  <c r="G232" l="1"/>
  <c r="H232" l="1"/>
  <c r="P232" l="1"/>
  <c r="R232" s="1"/>
  <c r="Q232" l="1"/>
  <c r="V232"/>
  <c r="G233" l="1"/>
  <c r="H233" l="1"/>
  <c r="P233" l="1"/>
  <c r="R233" s="1"/>
  <c r="Q233" l="1"/>
  <c r="V233"/>
  <c r="G234" l="1"/>
  <c r="H234" l="1"/>
  <c r="P234" l="1"/>
  <c r="R234" s="1"/>
  <c r="Q234" l="1"/>
  <c r="V234"/>
  <c r="G235" l="1"/>
  <c r="H235" l="1"/>
  <c r="V235" l="1"/>
  <c r="P235"/>
  <c r="R235" s="1"/>
  <c r="Q235" l="1"/>
  <c r="G236" l="1"/>
  <c r="H236" l="1"/>
  <c r="V236" l="1"/>
  <c r="P236"/>
  <c r="R236" s="1"/>
  <c r="Q236" l="1"/>
  <c r="G237" l="1"/>
  <c r="H237" l="1"/>
  <c r="P237" l="1"/>
  <c r="R237" s="1"/>
  <c r="Q237" l="1"/>
  <c r="V237"/>
  <c r="G238" l="1"/>
  <c r="H238" l="1"/>
  <c r="P238" l="1"/>
  <c r="R238" s="1"/>
  <c r="Q238" l="1"/>
  <c r="V238"/>
  <c r="G239" l="1"/>
  <c r="H239" l="1"/>
  <c r="V239" l="1"/>
  <c r="P239"/>
  <c r="R239" s="1"/>
  <c r="Q239" l="1"/>
  <c r="G240" l="1"/>
  <c r="H240" l="1"/>
  <c r="P240" l="1"/>
  <c r="R240" s="1"/>
  <c r="Q240" l="1"/>
  <c r="V240"/>
  <c r="G241" l="1"/>
  <c r="H241" l="1"/>
  <c r="V241" l="1"/>
  <c r="P241"/>
  <c r="R241" s="1"/>
  <c r="Q241" l="1"/>
  <c r="G242" l="1"/>
  <c r="H242" l="1"/>
  <c r="P242" l="1"/>
  <c r="R242" s="1"/>
  <c r="Q242" l="1"/>
  <c r="V242"/>
  <c r="G243" l="1"/>
  <c r="H243" l="1"/>
  <c r="P243" l="1"/>
  <c r="R243" s="1"/>
  <c r="Q243" l="1"/>
  <c r="V243"/>
  <c r="G244" l="1"/>
  <c r="H244" l="1"/>
  <c r="P244" l="1"/>
  <c r="R244" s="1"/>
  <c r="Q244" l="1"/>
  <c r="V244"/>
  <c r="G245" l="1"/>
  <c r="H245" l="1"/>
  <c r="V245" l="1"/>
  <c r="P245"/>
  <c r="R245" s="1"/>
  <c r="Q245" l="1"/>
  <c r="G246" l="1"/>
  <c r="H246" l="1"/>
  <c r="V246" l="1"/>
  <c r="P246"/>
  <c r="R246" s="1"/>
  <c r="Q246" l="1"/>
  <c r="G247" l="1"/>
  <c r="H247" l="1"/>
  <c r="P247" l="1"/>
  <c r="R247" s="1"/>
  <c r="Q247" l="1"/>
  <c r="V247"/>
  <c r="G248" l="1"/>
  <c r="H248" l="1"/>
  <c r="V248" l="1"/>
  <c r="P248"/>
  <c r="R248" s="1"/>
  <c r="Q248" l="1"/>
  <c r="G249" l="1"/>
  <c r="H249" l="1"/>
  <c r="V249" l="1"/>
  <c r="P249"/>
  <c r="R249" s="1"/>
  <c r="Q249" l="1"/>
  <c r="G250" l="1"/>
  <c r="H250" l="1"/>
  <c r="V250" l="1"/>
  <c r="P250"/>
  <c r="R250" s="1"/>
  <c r="Q250" l="1"/>
  <c r="G251" l="1"/>
  <c r="H251" l="1"/>
  <c r="P251" l="1"/>
  <c r="R251" s="1"/>
  <c r="Q251" l="1"/>
  <c r="V251"/>
  <c r="G252" l="1"/>
  <c r="H252" l="1"/>
  <c r="P252" l="1"/>
  <c r="R252" s="1"/>
  <c r="Q252" l="1"/>
  <c r="V252"/>
  <c r="G253" l="1"/>
  <c r="H253" l="1"/>
  <c r="P253" l="1"/>
  <c r="R253" s="1"/>
  <c r="Q253" l="1"/>
  <c r="V253"/>
  <c r="G254" l="1"/>
  <c r="H254" l="1"/>
  <c r="P254" l="1"/>
  <c r="R254" s="1"/>
  <c r="Q254" l="1"/>
  <c r="V254"/>
  <c r="G255" l="1"/>
  <c r="H255" s="1"/>
  <c r="P255" l="1"/>
  <c r="R255" s="1"/>
  <c r="V255" l="1"/>
  <c r="Q255"/>
  <c r="G256" l="1"/>
  <c r="H256" s="1"/>
  <c r="P256" l="1"/>
  <c r="R256" s="1"/>
  <c r="Q256" l="1"/>
  <c r="V256" l="1"/>
</calcChain>
</file>

<file path=xl/sharedStrings.xml><?xml version="1.0" encoding="utf-8"?>
<sst xmlns="http://schemas.openxmlformats.org/spreadsheetml/2006/main" count="21" uniqueCount="14">
  <si>
    <t>High</t>
  </si>
  <si>
    <t>Low</t>
  </si>
  <si>
    <t>TA-Lib Implementation</t>
  </si>
  <si>
    <t>Price</t>
  </si>
  <si>
    <t>Q1</t>
  </si>
  <si>
    <t>I1</t>
  </si>
  <si>
    <t>Phase</t>
  </si>
  <si>
    <t>Delta</t>
  </si>
  <si>
    <t>Alpha</t>
  </si>
  <si>
    <t>MAMA</t>
  </si>
  <si>
    <t>FAMA</t>
  </si>
  <si>
    <t>Validation</t>
  </si>
  <si>
    <t>Alpha raw</t>
  </si>
  <si>
    <t xml:space="preserve">Alpha </t>
  </si>
</sst>
</file>

<file path=xl/styles.xml><?xml version="1.0" encoding="utf-8"?>
<styleSheet xmlns="http://schemas.openxmlformats.org/spreadsheetml/2006/main">
  <numFmts count="5">
    <numFmt numFmtId="174" formatCode="0.0000"/>
    <numFmt numFmtId="175" formatCode="0.00000"/>
    <numFmt numFmtId="184" formatCode="0.00000000000000"/>
    <numFmt numFmtId="191" formatCode="0.00000000000000000"/>
    <numFmt numFmtId="192" formatCode="0.000000000000000000"/>
  </numFmts>
  <fonts count="4">
    <font>
      <sz val="10"/>
      <name val="Geneva"/>
    </font>
    <font>
      <sz val="10"/>
      <name val="Geneva"/>
    </font>
    <font>
      <sz val="8"/>
      <name val="Geneva"/>
    </font>
    <font>
      <sz val="10"/>
      <color indexed="22"/>
      <name val="Geneva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 style="mediumDashed">
        <color indexed="64"/>
      </right>
      <top/>
      <bottom/>
      <diagonal/>
    </border>
    <border>
      <left/>
      <right/>
      <top/>
      <bottom style="mediumDashed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74" fontId="0" fillId="0" borderId="0" xfId="0" applyNumberFormat="1"/>
    <xf numFmtId="175" fontId="0" fillId="0" borderId="0" xfId="0" applyNumberFormat="1"/>
    <xf numFmtId="2" fontId="0" fillId="0" borderId="0" xfId="0" applyNumberFormat="1" applyBorder="1" applyAlignment="1">
      <alignment horizontal="center"/>
    </xf>
    <xf numFmtId="1" fontId="0" fillId="0" borderId="0" xfId="0" applyNumberFormat="1" applyFill="1" applyAlignment="1"/>
    <xf numFmtId="1" fontId="0" fillId="0" borderId="0" xfId="0" applyNumberFormat="1" applyFill="1" applyAlignment="1">
      <alignment horizontal="center"/>
    </xf>
    <xf numFmtId="174" fontId="0" fillId="0" borderId="0" xfId="0" applyNumberFormat="1" applyFill="1"/>
    <xf numFmtId="0" fontId="0" fillId="0" borderId="0" xfId="0" applyFill="1" applyBorder="1"/>
    <xf numFmtId="0" fontId="1" fillId="0" borderId="0" xfId="0" applyFont="1" applyFill="1" applyAlignment="1">
      <alignment horizontal="center"/>
    </xf>
    <xf numFmtId="0" fontId="0" fillId="0" borderId="0" xfId="0" applyBorder="1"/>
    <xf numFmtId="175" fontId="0" fillId="0" borderId="1" xfId="0" applyNumberFormat="1" applyFill="1" applyBorder="1"/>
    <xf numFmtId="175" fontId="1" fillId="0" borderId="1" xfId="0" applyNumberFormat="1" applyFont="1" applyFill="1" applyBorder="1"/>
    <xf numFmtId="175" fontId="0" fillId="0" borderId="1" xfId="0" applyNumberFormat="1" applyBorder="1"/>
    <xf numFmtId="175" fontId="0" fillId="0" borderId="0" xfId="0" applyNumberFormat="1" applyBorder="1"/>
    <xf numFmtId="0" fontId="3" fillId="2" borderId="0" xfId="0" applyFont="1" applyFill="1" applyBorder="1"/>
    <xf numFmtId="2" fontId="3" fillId="2" borderId="0" xfId="0" applyNumberFormat="1" applyFont="1" applyFill="1" applyBorder="1"/>
    <xf numFmtId="174" fontId="3" fillId="2" borderId="0" xfId="0" applyNumberFormat="1" applyFont="1" applyFill="1" applyBorder="1"/>
    <xf numFmtId="174" fontId="0" fillId="2" borderId="0" xfId="0" applyNumberFormat="1" applyFill="1" applyBorder="1"/>
    <xf numFmtId="192" fontId="0" fillId="0" borderId="0" xfId="0" applyNumberFormat="1"/>
    <xf numFmtId="192" fontId="0" fillId="0" borderId="0" xfId="0" applyNumberFormat="1" applyBorder="1"/>
    <xf numFmtId="191" fontId="0" fillId="0" borderId="0" xfId="0" applyNumberFormat="1" applyFill="1" applyBorder="1"/>
    <xf numFmtId="191" fontId="0" fillId="0" borderId="2" xfId="0" applyNumberFormat="1" applyFill="1" applyBorder="1"/>
    <xf numFmtId="191" fontId="0" fillId="0" borderId="1" xfId="0" applyNumberFormat="1" applyFill="1" applyBorder="1"/>
    <xf numFmtId="2" fontId="0" fillId="2" borderId="0" xfId="0" applyNumberFormat="1" applyFill="1" applyBorder="1"/>
    <xf numFmtId="191" fontId="0" fillId="3" borderId="0" xfId="0" applyNumberFormat="1" applyFill="1" applyBorder="1"/>
    <xf numFmtId="191" fontId="1" fillId="3" borderId="0" xfId="0" applyNumberFormat="1" applyFont="1" applyFill="1" applyBorder="1"/>
    <xf numFmtId="0" fontId="0" fillId="3" borderId="0" xfId="0" applyFill="1"/>
    <xf numFmtId="1" fontId="0" fillId="3" borderId="0" xfId="0" applyNumberFormat="1" applyFill="1" applyAlignment="1"/>
    <xf numFmtId="1" fontId="0" fillId="3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174" fontId="0" fillId="3" borderId="0" xfId="0" applyNumberFormat="1" applyFill="1" applyBorder="1"/>
    <xf numFmtId="174" fontId="0" fillId="3" borderId="2" xfId="0" applyNumberFormat="1" applyFill="1" applyBorder="1"/>
    <xf numFmtId="174" fontId="0" fillId="3" borderId="1" xfId="0" applyNumberFormat="1" applyFill="1" applyBorder="1"/>
    <xf numFmtId="184" fontId="0" fillId="2" borderId="0" xfId="0" applyNumberFormat="1" applyFill="1"/>
    <xf numFmtId="184" fontId="0" fillId="3" borderId="0" xfId="0" applyNumberFormat="1" applyFill="1" applyBorder="1"/>
    <xf numFmtId="174" fontId="0" fillId="4" borderId="0" xfId="0" applyNumberFormat="1" applyFill="1" applyBorder="1"/>
    <xf numFmtId="184" fontId="0" fillId="4" borderId="0" xfId="0" applyNumberFormat="1" applyFill="1" applyBorder="1"/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G1008"/>
  <sheetViews>
    <sheetView tabSelected="1" topLeftCell="B240" workbookViewId="0">
      <selection activeCell="L252" sqref="L252"/>
    </sheetView>
  </sheetViews>
  <sheetFormatPr defaultColWidth="11.5546875" defaultRowHeight="13.2"/>
  <cols>
    <col min="1" max="1" width="9.109375" customWidth="1"/>
    <col min="2" max="3" width="7" customWidth="1"/>
    <col min="4" max="4" width="24.44140625" style="1" customWidth="1"/>
    <col min="5" max="5" width="25.77734375" customWidth="1"/>
    <col min="6" max="6" width="26.5546875" style="2" customWidth="1"/>
    <col min="7" max="8" width="8.6640625" style="2" customWidth="1"/>
    <col min="9" max="9" width="12.5546875" style="2" customWidth="1"/>
    <col min="10" max="11" width="8.6640625" style="2" customWidth="1"/>
    <col min="12" max="12" width="24" style="2" customWidth="1"/>
    <col min="13" max="13" width="13.109375" style="2" customWidth="1"/>
    <col min="14" max="15" width="11.5546875" customWidth="1"/>
    <col min="16" max="16" width="4.33203125" customWidth="1"/>
    <col min="17" max="17" width="6" hidden="1" customWidth="1"/>
    <col min="18" max="18" width="1.6640625" customWidth="1"/>
    <col min="19" max="19" width="34" customWidth="1"/>
    <col min="20" max="20" width="2.109375" customWidth="1"/>
    <col min="21" max="21" width="4.33203125" customWidth="1"/>
  </cols>
  <sheetData>
    <row r="1" spans="2:21">
      <c r="B1">
        <v>0.5</v>
      </c>
      <c r="C1">
        <v>0.05</v>
      </c>
      <c r="D1" s="6">
        <v>9.6199999999999994E-2</v>
      </c>
    </row>
    <row r="2" spans="2:21" s="31" customFormat="1">
      <c r="D2" s="32"/>
      <c r="E2" s="32"/>
      <c r="F2" s="32"/>
      <c r="G2" s="33"/>
      <c r="H2" s="33"/>
      <c r="I2" s="33"/>
      <c r="J2" s="33"/>
      <c r="K2" s="33"/>
      <c r="L2" s="33"/>
      <c r="M2" s="33"/>
      <c r="N2" s="34" t="s">
        <v>2</v>
      </c>
      <c r="O2" s="34"/>
      <c r="P2" s="34" t="s">
        <v>11</v>
      </c>
      <c r="Q2" s="34"/>
      <c r="S2" s="31" t="s">
        <v>2</v>
      </c>
      <c r="U2" s="31" t="s">
        <v>11</v>
      </c>
    </row>
    <row r="3" spans="2:21">
      <c r="D3" s="9"/>
      <c r="E3" s="9"/>
      <c r="F3" s="9"/>
      <c r="G3" s="10"/>
      <c r="H3" s="10" t="s">
        <v>7</v>
      </c>
      <c r="I3" s="10"/>
      <c r="J3" s="10"/>
      <c r="K3" s="10"/>
      <c r="L3" s="10"/>
      <c r="M3" s="9"/>
      <c r="N3" s="13"/>
      <c r="O3" s="13"/>
      <c r="P3" s="13"/>
    </row>
    <row r="4" spans="2:21">
      <c r="B4" t="s">
        <v>0</v>
      </c>
      <c r="C4" t="s">
        <v>1</v>
      </c>
      <c r="D4" s="3" t="s">
        <v>3</v>
      </c>
      <c r="E4" s="4" t="s">
        <v>4</v>
      </c>
      <c r="F4" s="5" t="s">
        <v>5</v>
      </c>
      <c r="G4" s="8" t="s">
        <v>6</v>
      </c>
      <c r="H4" s="8" t="s">
        <v>6</v>
      </c>
      <c r="I4" s="8" t="s">
        <v>12</v>
      </c>
      <c r="J4" s="8" t="s">
        <v>13</v>
      </c>
      <c r="K4" s="8" t="s">
        <v>8</v>
      </c>
      <c r="L4" s="8" t="s">
        <v>9</v>
      </c>
      <c r="M4" s="5" t="s">
        <v>10</v>
      </c>
      <c r="N4" s="4" t="s">
        <v>9</v>
      </c>
      <c r="O4" s="4" t="s">
        <v>10</v>
      </c>
      <c r="P4" s="4"/>
      <c r="S4" t="s">
        <v>9</v>
      </c>
      <c r="T4" t="s">
        <v>10</v>
      </c>
    </row>
    <row r="5" spans="2:21">
      <c r="B5" s="12">
        <v>93.25</v>
      </c>
      <c r="C5" s="12">
        <v>90.75</v>
      </c>
      <c r="D5" s="15">
        <f>(B5+C5)/2</f>
        <v>92</v>
      </c>
      <c r="E5" s="19"/>
      <c r="F5" s="20"/>
      <c r="G5" s="21"/>
      <c r="H5" s="21"/>
      <c r="I5" s="21"/>
      <c r="J5" s="21"/>
      <c r="K5" s="21"/>
      <c r="L5" s="21"/>
      <c r="M5" s="20"/>
      <c r="N5" t="e">
        <f t="array" aca="1" ref="N5:O256" ca="1">TA_MAMA(D5:D256,0.5,0.05)</f>
        <v>#NAME?</v>
      </c>
      <c r="O5" t="e">
        <f ca="1"/>
        <v>#NAME?</v>
      </c>
      <c r="S5" t="e">
        <v>#N/A</v>
      </c>
      <c r="T5" t="e">
        <v>#N/A</v>
      </c>
    </row>
    <row r="6" spans="2:21">
      <c r="B6" s="12">
        <v>94.94</v>
      </c>
      <c r="C6" s="12">
        <v>91.405000000000001</v>
      </c>
      <c r="D6" s="15">
        <f t="shared" ref="D6:D69" si="0">(B6+C6)/2</f>
        <v>93.172499999999999</v>
      </c>
      <c r="E6" s="19"/>
      <c r="F6" s="20"/>
      <c r="G6" s="21"/>
      <c r="H6" s="21"/>
      <c r="I6" s="21"/>
      <c r="J6" s="21"/>
      <c r="K6" s="21"/>
      <c r="L6" s="21"/>
      <c r="M6" s="20"/>
      <c r="N6" t="e">
        <f ca="1"/>
        <v>#NAME?</v>
      </c>
      <c r="O6" t="e">
        <f ca="1"/>
        <v>#NAME?</v>
      </c>
      <c r="S6" t="e">
        <v>#N/A</v>
      </c>
      <c r="T6" t="e">
        <v>#N/A</v>
      </c>
    </row>
    <row r="7" spans="2:21">
      <c r="B7" s="12">
        <v>96.375</v>
      </c>
      <c r="C7" s="12">
        <v>94.25</v>
      </c>
      <c r="D7" s="15">
        <f t="shared" si="0"/>
        <v>95.3125</v>
      </c>
      <c r="E7" s="19"/>
      <c r="F7" s="20"/>
      <c r="G7" s="21"/>
      <c r="H7" s="21"/>
      <c r="I7" s="21"/>
      <c r="J7" s="21"/>
      <c r="K7" s="21"/>
      <c r="L7" s="21"/>
      <c r="M7" s="20"/>
      <c r="N7" t="e">
        <f ca="1"/>
        <v>#NAME?</v>
      </c>
      <c r="O7" t="e">
        <f ca="1"/>
        <v>#NAME?</v>
      </c>
      <c r="S7" t="e">
        <v>#N/A</v>
      </c>
      <c r="T7" t="e">
        <v>#N/A</v>
      </c>
    </row>
    <row r="8" spans="2:21">
      <c r="B8" s="12">
        <v>96.19</v>
      </c>
      <c r="C8" s="12">
        <v>93.5</v>
      </c>
      <c r="D8" s="15">
        <f t="shared" si="0"/>
        <v>94.844999999999999</v>
      </c>
      <c r="E8" s="19"/>
      <c r="F8" s="21"/>
      <c r="G8" s="21"/>
      <c r="H8" s="21"/>
      <c r="I8" s="21"/>
      <c r="J8" s="21"/>
      <c r="K8" s="21"/>
      <c r="L8" s="21"/>
      <c r="M8" s="20"/>
      <c r="N8" t="e">
        <f ca="1"/>
        <v>#NAME?</v>
      </c>
      <c r="O8" t="e">
        <f ca="1"/>
        <v>#NAME?</v>
      </c>
      <c r="S8" t="e">
        <v>#N/A</v>
      </c>
      <c r="T8" t="e">
        <v>#N/A</v>
      </c>
    </row>
    <row r="9" spans="2:21">
      <c r="B9" s="12">
        <v>96</v>
      </c>
      <c r="C9" s="12">
        <v>92.814999999999998</v>
      </c>
      <c r="D9" s="15">
        <f t="shared" si="0"/>
        <v>94.407499999999999</v>
      </c>
      <c r="E9" s="19"/>
      <c r="F9" s="21"/>
      <c r="G9" s="21"/>
      <c r="H9" s="21"/>
      <c r="I9" s="21"/>
      <c r="J9" s="21"/>
      <c r="K9" s="21"/>
      <c r="L9" s="21"/>
      <c r="M9" s="20"/>
      <c r="N9" t="e">
        <f ca="1"/>
        <v>#NAME?</v>
      </c>
      <c r="O9" t="e">
        <f ca="1"/>
        <v>#NAME?</v>
      </c>
      <c r="S9" t="e">
        <v>#N/A</v>
      </c>
      <c r="T9" t="e">
        <v>#N/A</v>
      </c>
    </row>
    <row r="10" spans="2:21">
      <c r="B10" s="12">
        <v>94.72</v>
      </c>
      <c r="C10" s="12">
        <v>93.5</v>
      </c>
      <c r="D10" s="15">
        <f t="shared" si="0"/>
        <v>94.11</v>
      </c>
      <c r="E10" s="19"/>
      <c r="F10" s="21"/>
      <c r="G10" s="21"/>
      <c r="H10" s="21"/>
      <c r="I10" s="21"/>
      <c r="J10" s="21"/>
      <c r="K10" s="21"/>
      <c r="L10" s="21"/>
      <c r="M10" s="20"/>
      <c r="N10" t="e">
        <f ca="1"/>
        <v>#NAME?</v>
      </c>
      <c r="O10" t="e">
        <f ca="1"/>
        <v>#NAME?</v>
      </c>
      <c r="S10" t="e">
        <v>#N/A</v>
      </c>
      <c r="T10" t="e">
        <v>#N/A</v>
      </c>
    </row>
    <row r="11" spans="2:21">
      <c r="B11" s="12">
        <v>95</v>
      </c>
      <c r="C11" s="12">
        <v>92</v>
      </c>
      <c r="D11" s="15">
        <f t="shared" si="0"/>
        <v>93.5</v>
      </c>
      <c r="E11" s="21"/>
      <c r="F11" s="21"/>
      <c r="G11" s="21"/>
      <c r="H11" s="21"/>
      <c r="I11" s="21"/>
      <c r="J11" s="21"/>
      <c r="K11" s="21"/>
      <c r="L11" s="21"/>
      <c r="M11" s="20"/>
      <c r="N11" t="e">
        <f ca="1"/>
        <v>#NAME?</v>
      </c>
      <c r="O11" t="e">
        <f ca="1"/>
        <v>#NAME?</v>
      </c>
      <c r="S11" t="e">
        <v>#N/A</v>
      </c>
      <c r="T11" t="e">
        <v>#N/A</v>
      </c>
    </row>
    <row r="12" spans="2:21">
      <c r="B12" s="12">
        <v>93.72</v>
      </c>
      <c r="C12" s="12">
        <v>89.75</v>
      </c>
      <c r="D12" s="15">
        <f t="shared" si="0"/>
        <v>91.734999999999999</v>
      </c>
      <c r="E12" s="21"/>
      <c r="F12" s="21"/>
      <c r="G12" s="21"/>
      <c r="H12" s="21"/>
      <c r="I12" s="21"/>
      <c r="J12" s="21"/>
      <c r="K12" s="21"/>
      <c r="L12" s="21"/>
      <c r="M12" s="20"/>
      <c r="N12" t="e">
        <f ca="1"/>
        <v>#NAME?</v>
      </c>
      <c r="O12" t="e">
        <f ca="1"/>
        <v>#NAME?</v>
      </c>
      <c r="S12" t="e">
        <v>#N/A</v>
      </c>
      <c r="T12" t="e">
        <v>#N/A</v>
      </c>
    </row>
    <row r="13" spans="2:21">
      <c r="B13" s="12">
        <v>92.47</v>
      </c>
      <c r="C13" s="12">
        <v>89.44</v>
      </c>
      <c r="D13" s="16">
        <f t="shared" si="0"/>
        <v>90.954999999999998</v>
      </c>
      <c r="E13" s="21"/>
      <c r="F13" s="21"/>
      <c r="G13" s="21"/>
      <c r="H13" s="21"/>
      <c r="I13" s="21"/>
      <c r="J13" s="21"/>
      <c r="K13" s="21"/>
      <c r="L13" s="21"/>
      <c r="M13" s="20"/>
      <c r="N13" t="e">
        <f ca="1"/>
        <v>#NAME?</v>
      </c>
      <c r="O13" t="e">
        <f ca="1"/>
        <v>#NAME?</v>
      </c>
      <c r="S13" t="e">
        <v>#N/A</v>
      </c>
      <c r="T13" t="e">
        <v>#N/A</v>
      </c>
    </row>
    <row r="14" spans="2:21">
      <c r="B14" s="12">
        <v>92.75</v>
      </c>
      <c r="C14" s="12">
        <v>90.625</v>
      </c>
      <c r="D14" s="15">
        <f t="shared" si="0"/>
        <v>91.6875</v>
      </c>
      <c r="E14" s="21"/>
      <c r="F14" s="21"/>
      <c r="G14" s="21"/>
      <c r="H14" s="21"/>
      <c r="I14" s="21"/>
      <c r="J14" s="21"/>
      <c r="K14" s="21"/>
      <c r="L14" s="21"/>
      <c r="M14" s="20"/>
      <c r="N14" t="e">
        <f ca="1"/>
        <v>#NAME?</v>
      </c>
      <c r="O14" t="e">
        <f ca="1"/>
        <v>#NAME?</v>
      </c>
      <c r="S14" t="e">
        <v>#N/A</v>
      </c>
      <c r="T14" t="e">
        <v>#N/A</v>
      </c>
    </row>
    <row r="15" spans="2:21">
      <c r="B15" s="12">
        <v>96.25</v>
      </c>
      <c r="C15" s="12">
        <v>92.75</v>
      </c>
      <c r="D15" s="15">
        <f t="shared" si="0"/>
        <v>94.5</v>
      </c>
      <c r="E15" s="21"/>
      <c r="F15" s="21"/>
      <c r="G15" s="21"/>
      <c r="H15" s="21"/>
      <c r="I15" s="21"/>
      <c r="J15" s="21"/>
      <c r="K15" s="21"/>
      <c r="L15" s="21"/>
      <c r="M15" s="20"/>
      <c r="N15" t="e">
        <f ca="1"/>
        <v>#NAME?</v>
      </c>
      <c r="O15" t="e">
        <f ca="1"/>
        <v>#NAME?</v>
      </c>
      <c r="S15" t="e">
        <v>#N/A</v>
      </c>
      <c r="T15" t="e">
        <v>#N/A</v>
      </c>
    </row>
    <row r="16" spans="2:21">
      <c r="B16">
        <v>99.625</v>
      </c>
      <c r="C16">
        <v>96.314999999999998</v>
      </c>
      <c r="D16" s="17">
        <f t="shared" si="0"/>
        <v>97.97</v>
      </c>
      <c r="E16" s="22"/>
      <c r="F16" s="22"/>
      <c r="G16" s="22"/>
      <c r="H16" s="22"/>
      <c r="I16" s="22"/>
      <c r="J16" s="22"/>
      <c r="K16" s="22"/>
      <c r="L16" s="22"/>
      <c r="M16" s="28"/>
      <c r="N16" t="e">
        <f ca="1"/>
        <v>#NAME?</v>
      </c>
      <c r="O16" t="e">
        <f ca="1"/>
        <v>#NAME?</v>
      </c>
      <c r="S16" t="e">
        <v>#N/A</v>
      </c>
      <c r="T16" t="e">
        <v>#N/A</v>
      </c>
    </row>
    <row r="17" spans="2:22">
      <c r="B17">
        <v>99.125</v>
      </c>
      <c r="C17">
        <v>96.03</v>
      </c>
      <c r="D17" s="7">
        <f t="shared" si="0"/>
        <v>97.577500000000001</v>
      </c>
      <c r="E17" s="22"/>
      <c r="F17" s="22"/>
      <c r="G17" s="22"/>
      <c r="H17" s="22"/>
      <c r="I17" s="22"/>
      <c r="J17" s="22"/>
      <c r="K17" s="22"/>
      <c r="L17" s="22"/>
      <c r="M17" s="22"/>
      <c r="N17" t="e">
        <f ca="1"/>
        <v>#NAME?</v>
      </c>
      <c r="O17" t="e">
        <f ca="1"/>
        <v>#NAME?</v>
      </c>
      <c r="S17" t="e">
        <v>#N/A</v>
      </c>
      <c r="T17" t="e">
        <v>#N/A</v>
      </c>
      <c r="V17" t="e">
        <f>0.33*#REF!+0.67*#REF!</f>
        <v>#REF!</v>
      </c>
    </row>
    <row r="18" spans="2:22">
      <c r="B18">
        <v>92.75</v>
      </c>
      <c r="C18">
        <v>88.814999999999998</v>
      </c>
      <c r="D18" s="7">
        <f t="shared" si="0"/>
        <v>90.782499999999999</v>
      </c>
      <c r="E18" s="22"/>
      <c r="F18" s="22"/>
      <c r="G18" s="22"/>
      <c r="H18" s="22"/>
      <c r="I18" s="22"/>
      <c r="J18" s="22"/>
      <c r="K18" s="22"/>
      <c r="L18" s="22"/>
      <c r="M18" s="22"/>
      <c r="N18" t="e">
        <f ca="1"/>
        <v>#NAME?</v>
      </c>
      <c r="O18" t="e">
        <f ca="1"/>
        <v>#NAME?</v>
      </c>
      <c r="S18" t="e">
        <v>#N/A</v>
      </c>
      <c r="T18" t="e">
        <v>#N/A</v>
      </c>
      <c r="V18" t="e">
        <f>0.33*#REF!+0.67*#REF!</f>
        <v>#REF!</v>
      </c>
    </row>
    <row r="19" spans="2:22">
      <c r="B19">
        <v>91.314999999999998</v>
      </c>
      <c r="C19">
        <v>86.75</v>
      </c>
      <c r="D19" s="7">
        <f t="shared" si="0"/>
        <v>89.032499999999999</v>
      </c>
      <c r="E19" s="22"/>
      <c r="F19" s="22"/>
      <c r="G19" s="22"/>
      <c r="H19" s="22"/>
      <c r="I19" s="22"/>
      <c r="J19" s="22"/>
      <c r="K19" s="22"/>
      <c r="L19" s="22"/>
      <c r="M19" s="22"/>
      <c r="N19" t="e">
        <f ca="1"/>
        <v>#NAME?</v>
      </c>
      <c r="O19" t="e">
        <f ca="1"/>
        <v>#NAME?</v>
      </c>
      <c r="S19" t="e">
        <v>#N/A</v>
      </c>
      <c r="T19" t="e">
        <v>#N/A</v>
      </c>
      <c r="V19" t="e">
        <f>0.33*#REF!+0.67*#REF!</f>
        <v>#REF!</v>
      </c>
    </row>
    <row r="20" spans="2:22">
      <c r="B20">
        <v>93.25</v>
      </c>
      <c r="C20">
        <v>90.94</v>
      </c>
      <c r="D20" s="7">
        <f t="shared" si="0"/>
        <v>92.094999999999999</v>
      </c>
      <c r="E20" s="23">
        <v>1.66480303188724</v>
      </c>
      <c r="F20" s="29">
        <v>0.61268513625000598</v>
      </c>
      <c r="G20" s="22"/>
      <c r="H20" s="22"/>
      <c r="I20" s="22"/>
      <c r="J20" s="22"/>
      <c r="K20" s="22"/>
      <c r="L20" s="22"/>
      <c r="M20" s="22"/>
      <c r="N20" t="e">
        <f ca="1"/>
        <v>#NAME?</v>
      </c>
      <c r="O20" t="e">
        <f ca="1"/>
        <v>#NAME?</v>
      </c>
      <c r="S20" t="e">
        <v>#N/A</v>
      </c>
      <c r="T20" t="e">
        <v>#N/A</v>
      </c>
      <c r="V20" t="e">
        <f>0.33*#REF!+0.67*#REF!</f>
        <v>#REF!</v>
      </c>
    </row>
    <row r="21" spans="2:22">
      <c r="B21">
        <v>93.405000000000001</v>
      </c>
      <c r="C21">
        <v>88.905000000000001</v>
      </c>
      <c r="D21" s="7">
        <f t="shared" si="0"/>
        <v>91.155000000000001</v>
      </c>
      <c r="E21" s="23">
        <v>0.77864061948475405</v>
      </c>
      <c r="F21" s="29">
        <v>2.0464903305000002</v>
      </c>
      <c r="G21" s="22"/>
      <c r="H21" s="22"/>
      <c r="I21" s="22"/>
      <c r="J21" s="22"/>
      <c r="K21" s="22"/>
      <c r="L21" s="22"/>
      <c r="M21" s="22"/>
      <c r="N21" t="e">
        <f ca="1"/>
        <v>#NAME?</v>
      </c>
      <c r="O21" t="e">
        <f ca="1"/>
        <v>#NAME?</v>
      </c>
      <c r="S21" t="e">
        <v>#N/A</v>
      </c>
      <c r="T21" t="e">
        <v>#N/A</v>
      </c>
      <c r="V21" t="e">
        <f>0.33*#REF!+0.67*#REF!</f>
        <v>#REF!</v>
      </c>
    </row>
    <row r="22" spans="2:22">
      <c r="B22">
        <v>90.655000000000001</v>
      </c>
      <c r="C22">
        <v>88.78</v>
      </c>
      <c r="D22" s="7">
        <f t="shared" si="0"/>
        <v>89.717500000000001</v>
      </c>
      <c r="E22" s="23">
        <v>-1.4342712549771599</v>
      </c>
      <c r="F22" s="29">
        <v>2.1956965965000101</v>
      </c>
      <c r="G22" s="22"/>
      <c r="H22" s="22"/>
      <c r="I22" s="22"/>
      <c r="J22" s="22"/>
      <c r="K22" s="22"/>
      <c r="L22" s="22"/>
      <c r="M22" s="22"/>
      <c r="N22" t="e">
        <f ca="1"/>
        <v>#NAME?</v>
      </c>
      <c r="O22" t="e">
        <f ca="1"/>
        <v>#NAME?</v>
      </c>
      <c r="S22" t="e">
        <v>#N/A</v>
      </c>
      <c r="T22" t="e">
        <v>#N/A</v>
      </c>
      <c r="V22" t="e">
        <f>0.33*#REF!+0.67*#REF!</f>
        <v>#REF!</v>
      </c>
    </row>
    <row r="23" spans="2:22">
      <c r="B23">
        <v>91.97</v>
      </c>
      <c r="C23">
        <v>89.25</v>
      </c>
      <c r="D23" s="7">
        <f t="shared" si="0"/>
        <v>90.61</v>
      </c>
      <c r="E23" s="23">
        <v>-2.9350628901680702</v>
      </c>
      <c r="F23" s="29">
        <v>-0.21332715524999801</v>
      </c>
      <c r="G23" s="22"/>
      <c r="H23" s="22"/>
      <c r="I23" s="22"/>
      <c r="J23" s="22"/>
      <c r="K23" s="22"/>
      <c r="L23" s="22"/>
      <c r="M23" s="22"/>
      <c r="N23" t="e">
        <f ca="1"/>
        <v>#NAME?</v>
      </c>
      <c r="O23" t="e">
        <f ca="1"/>
        <v>#NAME?</v>
      </c>
      <c r="S23" t="e">
        <v>#N/A</v>
      </c>
      <c r="T23" t="e">
        <v>#N/A</v>
      </c>
      <c r="V23" t="e">
        <f>0.33*#REF!+0.67*#REF!</f>
        <v>#REF!</v>
      </c>
    </row>
    <row r="24" spans="2:22">
      <c r="B24">
        <v>92.25</v>
      </c>
      <c r="C24">
        <v>89.75</v>
      </c>
      <c r="D24" s="7">
        <f t="shared" si="0"/>
        <v>91</v>
      </c>
      <c r="E24" s="23">
        <v>-1.43214819526157</v>
      </c>
      <c r="F24" s="29">
        <v>-2.6347588245</v>
      </c>
      <c r="G24" s="22"/>
      <c r="H24" s="22"/>
      <c r="I24" s="22"/>
      <c r="J24" s="22"/>
      <c r="K24" s="22"/>
      <c r="L24" s="22"/>
      <c r="M24" s="22"/>
      <c r="N24" t="e">
        <f ca="1"/>
        <v>#NAME?</v>
      </c>
      <c r="O24" t="e">
        <f ca="1"/>
        <v>#NAME?</v>
      </c>
      <c r="S24" t="e">
        <v>#N/A</v>
      </c>
      <c r="T24" t="e">
        <v>#N/A</v>
      </c>
      <c r="V24" t="e">
        <f>0.33*#REF!+0.67*#REF!</f>
        <v>#REF!</v>
      </c>
    </row>
    <row r="25" spans="2:22">
      <c r="B25">
        <v>90.344999999999999</v>
      </c>
      <c r="C25">
        <v>87.5</v>
      </c>
      <c r="D25" s="7">
        <f t="shared" si="0"/>
        <v>88.922499999999999</v>
      </c>
      <c r="E25" s="23">
        <v>0.54835479382063201</v>
      </c>
      <c r="F25" s="30">
        <v>-2.2299853702500001</v>
      </c>
      <c r="G25" s="22"/>
      <c r="H25" s="22"/>
      <c r="I25" s="22"/>
      <c r="J25" s="22"/>
      <c r="K25" s="22"/>
      <c r="L25" s="22"/>
      <c r="M25" s="22"/>
      <c r="N25" t="e">
        <f ca="1"/>
        <v>#NAME?</v>
      </c>
      <c r="O25" t="e">
        <f ca="1"/>
        <v>#NAME?</v>
      </c>
      <c r="S25" t="e">
        <v>#N/A</v>
      </c>
      <c r="T25" t="e">
        <v>#N/A</v>
      </c>
      <c r="V25" t="e">
        <f>0.33*#REF!+0.67*#REF!</f>
        <v>#REF!</v>
      </c>
    </row>
    <row r="26" spans="2:22">
      <c r="B26">
        <v>88.5</v>
      </c>
      <c r="C26">
        <v>86.53</v>
      </c>
      <c r="D26" s="7">
        <f t="shared" si="0"/>
        <v>87.515000000000001</v>
      </c>
      <c r="E26" s="23">
        <v>0.76323620729198705</v>
      </c>
      <c r="F26" s="25">
        <v>-1.2378372929999999</v>
      </c>
      <c r="G26" s="22"/>
      <c r="H26" s="22"/>
      <c r="I26" s="22"/>
      <c r="J26" s="22"/>
      <c r="K26" s="22"/>
      <c r="L26" s="22"/>
      <c r="M26" s="22"/>
      <c r="N26" t="e">
        <f ca="1"/>
        <v>#NAME?</v>
      </c>
      <c r="O26" t="e">
        <f ca="1"/>
        <v>#NAME?</v>
      </c>
      <c r="S26" t="e">
        <v>#N/A</v>
      </c>
      <c r="T26" t="e">
        <v>#N/A</v>
      </c>
      <c r="V26" t="e">
        <f>0.33*#REF!+0.67*#REF!</f>
        <v>#REF!</v>
      </c>
    </row>
    <row r="27" spans="2:22">
      <c r="B27">
        <v>88.25</v>
      </c>
      <c r="C27">
        <v>84.625</v>
      </c>
      <c r="D27" s="7">
        <f t="shared" si="0"/>
        <v>86.4375</v>
      </c>
      <c r="E27" s="23">
        <v>0.651653375608372</v>
      </c>
      <c r="F27" s="25">
        <v>-0.89742042224999397</v>
      </c>
      <c r="G27" s="22"/>
      <c r="H27" s="22"/>
      <c r="I27" s="22"/>
      <c r="J27" s="22"/>
      <c r="K27" s="22"/>
      <c r="L27" s="22"/>
      <c r="M27" s="22"/>
      <c r="N27" t="e">
        <f ca="1"/>
        <v>#NAME?</v>
      </c>
      <c r="O27" t="e">
        <f ca="1"/>
        <v>#NAME?</v>
      </c>
      <c r="S27" t="e">
        <v>#N/A</v>
      </c>
      <c r="T27" t="e">
        <v>#N/A</v>
      </c>
      <c r="V27" t="e">
        <f>0.33*#REF!+0.67*#REF!</f>
        <v>#REF!</v>
      </c>
    </row>
    <row r="28" spans="2:22" ht="13.8" thickBot="1">
      <c r="B28">
        <v>85.5</v>
      </c>
      <c r="C28">
        <v>82.28</v>
      </c>
      <c r="D28" s="7">
        <f t="shared" si="0"/>
        <v>83.89</v>
      </c>
      <c r="E28" s="23">
        <v>0.48132057822644198</v>
      </c>
      <c r="F28" s="26">
        <v>-0.4237451955</v>
      </c>
      <c r="G28" s="22"/>
      <c r="H28" s="22"/>
      <c r="I28" s="22"/>
      <c r="J28" s="22"/>
      <c r="K28" s="22"/>
      <c r="L28" s="22"/>
      <c r="M28" s="22"/>
      <c r="N28" t="e">
        <f ca="1"/>
        <v>#NAME?</v>
      </c>
      <c r="O28" t="e">
        <f ca="1"/>
        <v>#NAME?</v>
      </c>
      <c r="S28" t="e">
        <v>#N/A</v>
      </c>
      <c r="T28" t="e">
        <v>#N/A</v>
      </c>
      <c r="V28" t="e">
        <f>0.33*#REF!+0.67*#REF!</f>
        <v>#REF!</v>
      </c>
    </row>
    <row r="29" spans="2:22">
      <c r="B29">
        <v>84.44</v>
      </c>
      <c r="C29">
        <v>81.564999999999998</v>
      </c>
      <c r="D29" s="7">
        <f t="shared" si="0"/>
        <v>83.002499999999998</v>
      </c>
      <c r="E29" s="23">
        <v>-0.29985088879070498</v>
      </c>
      <c r="F29" s="27">
        <v>-0.19057304475002701</v>
      </c>
      <c r="G29" s="22"/>
      <c r="H29" s="22"/>
      <c r="I29" s="22"/>
      <c r="J29" s="22"/>
      <c r="K29" s="22"/>
      <c r="L29" s="38"/>
      <c r="M29" s="22"/>
      <c r="N29" t="e">
        <f ca="1"/>
        <v>#NAME?</v>
      </c>
      <c r="O29" t="e">
        <f ca="1"/>
        <v>#NAME?</v>
      </c>
      <c r="S29" t="e">
        <v>#N/A</v>
      </c>
      <c r="T29" t="e">
        <v>#N/A</v>
      </c>
      <c r="V29" t="e">
        <f>0.33*#REF!+0.67*#REF!</f>
        <v>#REF!</v>
      </c>
    </row>
    <row r="30" spans="2:22">
      <c r="B30" s="14">
        <v>84.75</v>
      </c>
      <c r="C30" s="14">
        <v>80.875</v>
      </c>
      <c r="D30" s="18">
        <f t="shared" si="0"/>
        <v>82.8125</v>
      </c>
      <c r="E30" s="24">
        <v>-1.1841504298844401</v>
      </c>
      <c r="F30" s="27">
        <v>-0.67440537449999804</v>
      </c>
      <c r="G30" s="40">
        <f>IF(F30&lt;&gt;0,DEGREES(ATAN(E30/F30)),0)</f>
        <v>60.337328808123623</v>
      </c>
      <c r="H30" s="40">
        <f>IF( (G29-G30) &lt; 1, 1, (G29-G30))</f>
        <v>1</v>
      </c>
      <c r="I30" s="40">
        <f>$B$1/H30</f>
        <v>0.5</v>
      </c>
      <c r="J30" s="40">
        <f>IF(I30 &lt; $C$1, $C$1, I30 )</f>
        <v>0.5</v>
      </c>
      <c r="K30" s="40">
        <f>IF(J30 &gt; $B$1, $B$1, J30 )</f>
        <v>0.5</v>
      </c>
      <c r="L30" s="41">
        <v>82.8125</v>
      </c>
      <c r="M30" s="40">
        <f>0.5*K30*L30+(1-0.5*K30)*M29</f>
        <v>20.703125</v>
      </c>
      <c r="N30" t="e">
        <f ca="1"/>
        <v>#NAME?</v>
      </c>
      <c r="O30" t="e">
        <f ca="1"/>
        <v>#NAME?</v>
      </c>
      <c r="S30" t="e">
        <v>#N/A</v>
      </c>
      <c r="T30" t="e">
        <v>#N/A</v>
      </c>
      <c r="V30" t="e">
        <f>0.33*#REF!+0.67*#REF!</f>
        <v>#REF!</v>
      </c>
    </row>
    <row r="31" spans="2:22">
      <c r="B31">
        <v>84.44</v>
      </c>
      <c r="C31">
        <v>81.25</v>
      </c>
      <c r="D31" s="7">
        <f t="shared" si="0"/>
        <v>82.844999999999999</v>
      </c>
      <c r="E31" s="23">
        <v>-1.6740420132135101</v>
      </c>
      <c r="F31" s="25">
        <v>-1.4149942042499899</v>
      </c>
      <c r="G31" s="35">
        <f>IF(F31&lt;&gt;0,DEGREES(ATAN(E31/F31)),0)</f>
        <v>49.793630737674533</v>
      </c>
      <c r="H31" s="35">
        <f>IF( (G30-G31) &lt; 1, 1, (G30-G31))</f>
        <v>10.543698070449089</v>
      </c>
      <c r="I31" s="35">
        <f t="shared" ref="I31:I94" si="1">$B$1/H31</f>
        <v>4.7421691768787862E-2</v>
      </c>
      <c r="J31" s="35">
        <f t="shared" ref="J31:J94" si="2">IF(I31 &lt; $C$1, $C$1, I31 )</f>
        <v>0.05</v>
      </c>
      <c r="K31" s="35">
        <f t="shared" ref="K31:K94" si="3">IF(J31 &gt; $B$1, $B$1, J31 )</f>
        <v>0.05</v>
      </c>
      <c r="L31" s="39">
        <f>K31*D31 + (1-K31)*L30</f>
        <v>82.814125000000004</v>
      </c>
      <c r="M31" s="35">
        <f t="shared" ref="M31:M94" si="4">0.5*K31*L31+(1-0.5*K31)*M30</f>
        <v>22.2559</v>
      </c>
      <c r="N31" t="e">
        <f ca="1"/>
        <v>#NAME?</v>
      </c>
      <c r="O31" t="e">
        <f ca="1"/>
        <v>#NAME?</v>
      </c>
      <c r="S31" t="e">
        <v>#N/A</v>
      </c>
      <c r="T31" t="e">
        <v>#N/A</v>
      </c>
      <c r="V31" t="e">
        <f>0.33*#REF!+0.67*#REF!</f>
        <v>#REF!</v>
      </c>
    </row>
    <row r="32" spans="2:22">
      <c r="B32">
        <v>89.405000000000001</v>
      </c>
      <c r="C32">
        <v>84.064999999999998</v>
      </c>
      <c r="D32" s="7">
        <f t="shared" si="0"/>
        <v>86.734999999999999</v>
      </c>
      <c r="E32" s="23">
        <v>-1.78193436002126</v>
      </c>
      <c r="F32" s="25">
        <v>-2.3000514063749899</v>
      </c>
      <c r="G32" s="35">
        <f>IF(F32&lt;&gt;0,DEGREES(ATAN(E32/F32)),0)</f>
        <v>37.766259973603702</v>
      </c>
      <c r="H32" s="35">
        <f t="shared" ref="H32:H81" si="5">IF( (G31-G32) &lt; 1, 1, (G31-G32))</f>
        <v>12.027370764070831</v>
      </c>
      <c r="I32" s="35">
        <f t="shared" si="1"/>
        <v>4.1571845568579451E-2</v>
      </c>
      <c r="J32" s="35">
        <f t="shared" si="2"/>
        <v>0.05</v>
      </c>
      <c r="K32" s="35">
        <f t="shared" si="3"/>
        <v>0.05</v>
      </c>
      <c r="L32" s="39">
        <f t="shared" ref="L31:L94" si="6">K32*D32 + (1-K32)*L31</f>
        <v>83.010168749999991</v>
      </c>
      <c r="M32" s="35">
        <f t="shared" si="4"/>
        <v>23.774756718750002</v>
      </c>
      <c r="N32" t="e">
        <f ca="1"/>
        <v>#NAME?</v>
      </c>
      <c r="O32" t="e">
        <f ca="1"/>
        <v>#NAME?</v>
      </c>
      <c r="S32" t="e">
        <v>#N/A</v>
      </c>
      <c r="T32" t="e">
        <v>#N/A</v>
      </c>
      <c r="V32" t="e">
        <f>0.33*#REF!+0.67*#REF!</f>
        <v>#REF!</v>
      </c>
    </row>
    <row r="33" spans="2:23">
      <c r="B33">
        <v>88.125</v>
      </c>
      <c r="C33">
        <v>85.594999999999999</v>
      </c>
      <c r="D33" s="7">
        <f t="shared" si="0"/>
        <v>86.86</v>
      </c>
      <c r="E33" s="23">
        <v>-1.1911037404918701</v>
      </c>
      <c r="F33" s="25">
        <v>-3.1525722770625002</v>
      </c>
      <c r="G33" s="35">
        <f>IF(F33&lt;&gt;0,DEGREES(ATAN(E33/F33)),0)</f>
        <v>20.697549958190631</v>
      </c>
      <c r="H33" s="35">
        <f t="shared" si="5"/>
        <v>17.068710015413071</v>
      </c>
      <c r="I33" s="35">
        <f t="shared" si="1"/>
        <v>2.9293367779316612E-2</v>
      </c>
      <c r="J33" s="35">
        <f t="shared" si="2"/>
        <v>0.05</v>
      </c>
      <c r="K33" s="35">
        <f t="shared" si="3"/>
        <v>0.05</v>
      </c>
      <c r="L33" s="39">
        <f t="shared" si="6"/>
        <v>83.202660312499987</v>
      </c>
      <c r="M33" s="35">
        <f t="shared" si="4"/>
        <v>25.260454308593751</v>
      </c>
      <c r="N33" t="e">
        <f ca="1"/>
        <v>#NAME?</v>
      </c>
      <c r="O33" t="e">
        <f ca="1"/>
        <v>#NAME?</v>
      </c>
      <c r="S33" t="e">
        <v>#N/A</v>
      </c>
      <c r="T33" t="e">
        <v>#N/A</v>
      </c>
      <c r="V33" t="e">
        <f>0.33*#REF!+0.67*#REF!</f>
        <v>#REF!</v>
      </c>
    </row>
    <row r="34" spans="2:23">
      <c r="B34" s="14">
        <v>89.125</v>
      </c>
      <c r="C34" s="14">
        <v>85.97</v>
      </c>
      <c r="D34" s="18">
        <f t="shared" si="0"/>
        <v>87.547499999999999</v>
      </c>
      <c r="E34" s="24">
        <v>0.85684050773138198</v>
      </c>
      <c r="F34" s="25">
        <v>-3.5009449465500002</v>
      </c>
      <c r="G34" s="35">
        <f>IF(F34&lt;&gt;0,DEGREES(ATAN(E34/F34)),0)</f>
        <v>-13.752543597317164</v>
      </c>
      <c r="H34" s="35">
        <f t="shared" si="5"/>
        <v>34.450093555507792</v>
      </c>
      <c r="I34" s="35">
        <f t="shared" si="1"/>
        <v>1.451374868385695E-2</v>
      </c>
      <c r="J34" s="35">
        <f t="shared" si="2"/>
        <v>0.05</v>
      </c>
      <c r="K34" s="35">
        <f t="shared" si="3"/>
        <v>0.05</v>
      </c>
      <c r="L34" s="39">
        <f t="shared" si="6"/>
        <v>83.41990229687498</v>
      </c>
      <c r="M34" s="35">
        <f t="shared" si="4"/>
        <v>26.714440508300779</v>
      </c>
      <c r="N34" t="e">
        <f ca="1"/>
        <v>#NAME?</v>
      </c>
      <c r="O34" t="e">
        <f ca="1"/>
        <v>#NAME?</v>
      </c>
      <c r="S34" t="e">
        <v>#N/A</v>
      </c>
      <c r="T34" t="e">
        <v>#N/A</v>
      </c>
      <c r="V34" t="e">
        <f>0.33*#REF!+0.67*#REF!</f>
        <v>#REF!</v>
      </c>
    </row>
    <row r="35" spans="2:23" ht="13.8" thickBot="1">
      <c r="B35" s="14">
        <v>87.155000000000001</v>
      </c>
      <c r="C35" s="14">
        <v>84.405000000000001</v>
      </c>
      <c r="D35" s="18">
        <f t="shared" si="0"/>
        <v>85.78</v>
      </c>
      <c r="E35" s="24">
        <v>2.8170057931966599</v>
      </c>
      <c r="F35" s="25">
        <v>-2.6479594711350098</v>
      </c>
      <c r="G35" s="36">
        <f>IF(F35&lt;&gt;0,DEGREES(ATAN(E35/F35)),0)</f>
        <v>-46.771750215514842</v>
      </c>
      <c r="H35" s="35">
        <f t="shared" si="5"/>
        <v>33.019206618197678</v>
      </c>
      <c r="I35" s="35">
        <f t="shared" si="1"/>
        <v>1.5142701815386381E-2</v>
      </c>
      <c r="J35" s="35">
        <f t="shared" si="2"/>
        <v>0.05</v>
      </c>
      <c r="K35" s="35">
        <f t="shared" si="3"/>
        <v>0.05</v>
      </c>
      <c r="L35" s="39">
        <f t="shared" si="6"/>
        <v>83.537907182031233</v>
      </c>
      <c r="M35" s="35">
        <f t="shared" si="4"/>
        <v>28.135027175144042</v>
      </c>
      <c r="N35" t="e">
        <f ca="1"/>
        <v>#NAME?</v>
      </c>
      <c r="O35" t="e">
        <f ca="1"/>
        <v>#NAME?</v>
      </c>
      <c r="S35" t="e">
        <v>#N/A</v>
      </c>
      <c r="T35" t="e">
        <v>#N/A</v>
      </c>
      <c r="V35" t="e">
        <f>0.33*#REF!+0.67*#REF!</f>
        <v>#REF!</v>
      </c>
    </row>
    <row r="36" spans="2:23" ht="13.8" thickBot="1">
      <c r="B36">
        <v>87.25</v>
      </c>
      <c r="C36">
        <v>85.094999999999999</v>
      </c>
      <c r="D36" s="7">
        <f t="shared" si="0"/>
        <v>86.172499999999999</v>
      </c>
      <c r="E36" s="23">
        <v>5.0357740139859297</v>
      </c>
      <c r="F36" s="25">
        <v>-1.5744701212667001</v>
      </c>
      <c r="G36" s="37">
        <f>IF(F36&lt;&gt;0,DEGREES(ATAN(E36/F36)),0)</f>
        <v>-72.637779299046571</v>
      </c>
      <c r="H36" s="36">
        <f t="shared" si="5"/>
        <v>25.866029083531728</v>
      </c>
      <c r="I36" s="35">
        <f t="shared" si="1"/>
        <v>1.933037337835276E-2</v>
      </c>
      <c r="J36" s="35">
        <f t="shared" si="2"/>
        <v>0.05</v>
      </c>
      <c r="K36" s="35">
        <f t="shared" si="3"/>
        <v>0.05</v>
      </c>
      <c r="L36" s="39">
        <f t="shared" si="6"/>
        <v>83.669636822929675</v>
      </c>
      <c r="M36" s="35">
        <f t="shared" si="4"/>
        <v>29.52339241633868</v>
      </c>
      <c r="N36" t="e">
        <f ca="1"/>
        <v>#NAME?</v>
      </c>
      <c r="O36" t="e">
        <f ca="1"/>
        <v>#NAME?</v>
      </c>
      <c r="S36" t="e">
        <v>#N/A</v>
      </c>
      <c r="T36" t="e">
        <v>#N/A</v>
      </c>
      <c r="V36" t="e">
        <f>0.33*#REF!+0.67*#REF!</f>
        <v>#REF!</v>
      </c>
    </row>
    <row r="37" spans="2:23">
      <c r="B37" s="14">
        <v>87.375</v>
      </c>
      <c r="C37" s="14">
        <v>85.5</v>
      </c>
      <c r="D37" s="18">
        <f t="shared" si="0"/>
        <v>86.4375</v>
      </c>
      <c r="E37" s="24">
        <v>6.2757821900681998</v>
      </c>
      <c r="F37" s="25">
        <v>1.03299605188037</v>
      </c>
      <c r="G37" s="35">
        <f>IF(F37&lt;&gt;0,DEGREES(ATAN(E37/F37)),0)</f>
        <v>80.652906759084402</v>
      </c>
      <c r="H37" s="35">
        <f t="shared" si="5"/>
        <v>1</v>
      </c>
      <c r="I37" s="35">
        <f t="shared" si="1"/>
        <v>0.5</v>
      </c>
      <c r="J37" s="35">
        <f t="shared" si="2"/>
        <v>0.5</v>
      </c>
      <c r="K37" s="35">
        <f t="shared" si="3"/>
        <v>0.5</v>
      </c>
      <c r="L37" s="39">
        <f t="shared" si="6"/>
        <v>85.053568411464838</v>
      </c>
      <c r="M37" s="35">
        <f t="shared" si="4"/>
        <v>43.405936415120223</v>
      </c>
      <c r="N37" s="6" t="e">
        <f ca="1"/>
        <v>#NAME?</v>
      </c>
      <c r="O37" s="6" t="e">
        <f ca="1"/>
        <v>#NAME?</v>
      </c>
      <c r="P37" t="e">
        <f ca="1">IF(ROUND(L37,7)&lt;&gt;ROUND(N37,7),1,0)</f>
        <v>#NAME?</v>
      </c>
      <c r="Q37" t="e">
        <f ca="1">IF(ROUND(M37,7)&lt;&gt;ROUND(O37,7),1,0)</f>
        <v>#NAME?</v>
      </c>
      <c r="R37" t="e">
        <f ca="1">SUM(P37:Q37)</f>
        <v>#NAME?</v>
      </c>
      <c r="S37">
        <v>85.364255769608405</v>
      </c>
      <c r="T37">
        <v>81.884658050219315</v>
      </c>
      <c r="U37">
        <v>0</v>
      </c>
      <c r="V37" t="e">
        <f>0.33*#REF!+0.67*#REF!</f>
        <v>#REF!</v>
      </c>
      <c r="W37">
        <v>0</v>
      </c>
    </row>
    <row r="38" spans="2:23">
      <c r="B38">
        <v>88.97</v>
      </c>
      <c r="C38">
        <v>85.53</v>
      </c>
      <c r="D38" s="7">
        <f t="shared" si="0"/>
        <v>87.25</v>
      </c>
      <c r="E38" s="23">
        <v>2.78590434940357</v>
      </c>
      <c r="F38" s="25">
        <v>3.0169901262758101</v>
      </c>
      <c r="G38" s="11">
        <f>IF(F38&lt;&gt;0,DEGREES(ATAN(E38/F38)),0)</f>
        <v>42.719543669592007</v>
      </c>
      <c r="H38" s="11">
        <f t="shared" si="5"/>
        <v>37.933363089492396</v>
      </c>
      <c r="I38" s="35">
        <f t="shared" si="1"/>
        <v>1.3181008992543054E-2</v>
      </c>
      <c r="J38" s="35">
        <f t="shared" si="2"/>
        <v>0.05</v>
      </c>
      <c r="K38" s="35">
        <f t="shared" si="3"/>
        <v>0.05</v>
      </c>
      <c r="L38" s="39">
        <f t="shared" si="6"/>
        <v>85.163389990891588</v>
      </c>
      <c r="M38" s="35">
        <f t="shared" si="4"/>
        <v>44.449872754514509</v>
      </c>
      <c r="N38" s="6" t="e">
        <f ca="1"/>
        <v>#NAME?</v>
      </c>
      <c r="O38" s="6" t="e">
        <f ca="1"/>
        <v>#NAME?</v>
      </c>
      <c r="P38" t="e">
        <f t="shared" ref="P38:P101" ca="1" si="7">IF(ROUND(L38,7)&lt;&gt;ROUND(N38,7),1,0)</f>
        <v>#NAME?</v>
      </c>
      <c r="Q38" t="e">
        <f t="shared" ref="Q38:Q101" ca="1" si="8">IF(ROUND(M38,7)&lt;&gt;ROUND(O38,7),1,0)</f>
        <v>#NAME?</v>
      </c>
      <c r="R38" t="e">
        <f t="shared" ref="R38:R101" ca="1" si="9">SUM(P38:Q38)</f>
        <v>#NAME?</v>
      </c>
      <c r="S38">
        <v>85.458542981127977</v>
      </c>
      <c r="T38">
        <v>81.974005173492017</v>
      </c>
      <c r="U38">
        <v>0</v>
      </c>
      <c r="V38" t="e">
        <f>0.33*#REF!+0.67*#REF!</f>
        <v>#REF!</v>
      </c>
      <c r="W38">
        <v>0</v>
      </c>
    </row>
    <row r="39" spans="2:23">
      <c r="B39">
        <v>90</v>
      </c>
      <c r="C39">
        <v>87.875</v>
      </c>
      <c r="D39" s="7">
        <f t="shared" si="0"/>
        <v>88.9375</v>
      </c>
      <c r="E39" s="23">
        <v>-1.1213698512774799</v>
      </c>
      <c r="F39" s="25">
        <v>2.9866982004932501</v>
      </c>
      <c r="G39" s="11">
        <f>IF(F39&lt;&gt;0,DEGREES(ATAN(E39/F39)),0)</f>
        <v>-20.578881826713701</v>
      </c>
      <c r="H39" s="11">
        <f t="shared" si="5"/>
        <v>63.298425496305711</v>
      </c>
      <c r="I39" s="35">
        <f t="shared" si="1"/>
        <v>7.8990906342398907E-3</v>
      </c>
      <c r="J39" s="35">
        <f t="shared" si="2"/>
        <v>0.05</v>
      </c>
      <c r="K39" s="35">
        <f t="shared" si="3"/>
        <v>0.05</v>
      </c>
      <c r="L39" s="39">
        <f t="shared" si="6"/>
        <v>85.352095491347015</v>
      </c>
      <c r="M39" s="35">
        <f t="shared" si="4"/>
        <v>45.472428322935315</v>
      </c>
      <c r="N39" s="6" t="e">
        <f ca="1"/>
        <v>#NAME?</v>
      </c>
      <c r="O39" s="6" t="e">
        <f ca="1"/>
        <v>#NAME?</v>
      </c>
      <c r="P39" t="e">
        <f t="shared" ca="1" si="7"/>
        <v>#NAME?</v>
      </c>
      <c r="Q39" t="e">
        <f t="shared" ca="1" si="8"/>
        <v>#NAME?</v>
      </c>
      <c r="R39" t="e">
        <f t="shared" ca="1" si="9"/>
        <v>#NAME?</v>
      </c>
      <c r="S39">
        <v>85.632490832071582</v>
      </c>
      <c r="T39">
        <v>82.065467314956507</v>
      </c>
      <c r="U39">
        <v>0</v>
      </c>
      <c r="V39" t="e">
        <f>0.33*#REF!+0.67*#REF!</f>
        <v>#REF!</v>
      </c>
      <c r="W39">
        <v>0</v>
      </c>
    </row>
    <row r="40" spans="2:23">
      <c r="B40">
        <v>89.844999999999999</v>
      </c>
      <c r="C40">
        <v>86.564999999999998</v>
      </c>
      <c r="D40" s="7">
        <f t="shared" si="0"/>
        <v>88.204999999999998</v>
      </c>
      <c r="E40" s="23">
        <v>-3.7296462245164799</v>
      </c>
      <c r="F40" s="25">
        <v>1.7977109018758</v>
      </c>
      <c r="G40" s="11">
        <f>IF(F40&lt;&gt;0,DEGREES(ATAN(E40/F40)),0)</f>
        <v>-64.265666241464857</v>
      </c>
      <c r="H40" s="11">
        <f t="shared" si="5"/>
        <v>43.686784414751159</v>
      </c>
      <c r="I40" s="35">
        <f t="shared" si="1"/>
        <v>1.1445108782855883E-2</v>
      </c>
      <c r="J40" s="35">
        <f t="shared" si="2"/>
        <v>0.05</v>
      </c>
      <c r="K40" s="35">
        <f t="shared" si="3"/>
        <v>0.05</v>
      </c>
      <c r="L40" s="39">
        <f t="shared" si="6"/>
        <v>85.49474071677966</v>
      </c>
      <c r="M40" s="35">
        <f t="shared" si="4"/>
        <v>46.472986132781422</v>
      </c>
      <c r="N40" s="6" t="e">
        <f ca="1"/>
        <v>#NAME?</v>
      </c>
      <c r="O40" s="6" t="e">
        <f ca="1"/>
        <v>#NAME?</v>
      </c>
      <c r="P40" t="e">
        <f t="shared" ca="1" si="7"/>
        <v>#NAME?</v>
      </c>
      <c r="Q40" t="e">
        <f t="shared" ca="1" si="8"/>
        <v>#NAME?</v>
      </c>
      <c r="R40" t="e">
        <f t="shared" ca="1" si="9"/>
        <v>#NAME?</v>
      </c>
      <c r="S40">
        <v>85.76111629046801</v>
      </c>
      <c r="T40">
        <v>82.157858539344289</v>
      </c>
      <c r="U40">
        <v>0</v>
      </c>
      <c r="V40" t="e">
        <f>0.33*#REF!+0.67*#REF!</f>
        <v>#REF!</v>
      </c>
      <c r="W40">
        <v>0</v>
      </c>
    </row>
    <row r="41" spans="2:23">
      <c r="B41">
        <v>86.97</v>
      </c>
      <c r="C41">
        <v>84.655000000000001</v>
      </c>
      <c r="D41" s="7">
        <f t="shared" si="0"/>
        <v>85.8125</v>
      </c>
      <c r="E41" s="23">
        <v>-2.4289641092740601</v>
      </c>
      <c r="F41" s="25">
        <v>7.2264038918778098E-2</v>
      </c>
      <c r="G41" s="11">
        <f>IF(F41&lt;&gt;0,DEGREES(ATAN(E41/F41)),0)</f>
        <v>-88.295897628948097</v>
      </c>
      <c r="H41" s="11">
        <f t="shared" si="5"/>
        <v>24.030231387483241</v>
      </c>
      <c r="I41" s="35">
        <f t="shared" si="1"/>
        <v>2.0807123824052639E-2</v>
      </c>
      <c r="J41" s="35">
        <f t="shared" si="2"/>
        <v>0.05</v>
      </c>
      <c r="K41" s="35">
        <f t="shared" si="3"/>
        <v>0.05</v>
      </c>
      <c r="L41" s="39">
        <f t="shared" si="6"/>
        <v>85.510628680940684</v>
      </c>
      <c r="M41" s="35">
        <f t="shared" si="4"/>
        <v>47.448927196485407</v>
      </c>
      <c r="N41" s="6" t="e">
        <f ca="1"/>
        <v>#NAME?</v>
      </c>
      <c r="O41" s="6" t="e">
        <f ca="1"/>
        <v>#NAME?</v>
      </c>
      <c r="P41" t="e">
        <f t="shared" ca="1" si="7"/>
        <v>#NAME?</v>
      </c>
      <c r="Q41" t="e">
        <f t="shared" ca="1" si="8"/>
        <v>#NAME?</v>
      </c>
      <c r="R41" t="e">
        <f t="shared" ca="1" si="9"/>
        <v>#NAME?</v>
      </c>
      <c r="S41">
        <v>85.763685475944612</v>
      </c>
      <c r="T41">
        <v>82.248004212759298</v>
      </c>
      <c r="U41">
        <v>0</v>
      </c>
      <c r="V41" t="e">
        <f>0.33*#REF!+0.67*#REF!</f>
        <v>#REF!</v>
      </c>
      <c r="W41">
        <v>0</v>
      </c>
    </row>
    <row r="42" spans="2:23">
      <c r="B42">
        <v>85.94</v>
      </c>
      <c r="C42">
        <v>83.25</v>
      </c>
      <c r="D42" s="7">
        <f t="shared" si="0"/>
        <v>84.594999999999999</v>
      </c>
      <c r="E42" s="23">
        <v>0.35286855581180898</v>
      </c>
      <c r="F42" s="25">
        <v>6.6317505394635407E-2</v>
      </c>
      <c r="G42" s="11">
        <f>IF(F42&lt;&gt;0,DEGREES(ATAN(E42/F42)),0)</f>
        <v>79.356088538594491</v>
      </c>
      <c r="H42" s="11">
        <f t="shared" si="5"/>
        <v>1</v>
      </c>
      <c r="I42" s="35">
        <f t="shared" si="1"/>
        <v>0.5</v>
      </c>
      <c r="J42" s="35">
        <f t="shared" si="2"/>
        <v>0.5</v>
      </c>
      <c r="K42" s="35">
        <f t="shared" si="3"/>
        <v>0.5</v>
      </c>
      <c r="L42" s="39">
        <f t="shared" si="6"/>
        <v>85.052814340470348</v>
      </c>
      <c r="M42" s="35">
        <f t="shared" si="4"/>
        <v>56.849898982481641</v>
      </c>
      <c r="N42" s="6" t="e">
        <f ca="1"/>
        <v>#NAME?</v>
      </c>
      <c r="O42" s="6" t="e">
        <f ca="1"/>
        <v>#NAME?</v>
      </c>
      <c r="P42" t="e">
        <f t="shared" ca="1" si="7"/>
        <v>#NAME?</v>
      </c>
      <c r="Q42" t="e">
        <f t="shared" ca="1" si="8"/>
        <v>#NAME?</v>
      </c>
      <c r="R42" t="e">
        <f t="shared" ca="1" si="9"/>
        <v>#NAME?</v>
      </c>
      <c r="S42">
        <v>85.179342737972306</v>
      </c>
      <c r="T42">
        <v>82.980838844062546</v>
      </c>
      <c r="U42">
        <v>0</v>
      </c>
      <c r="V42" t="e">
        <f>0.33*#REF!+0.67*#REF!</f>
        <v>#REF!</v>
      </c>
      <c r="W42">
        <v>0</v>
      </c>
    </row>
    <row r="43" spans="2:23">
      <c r="B43">
        <v>84.75</v>
      </c>
      <c r="C43">
        <v>82.564999999999998</v>
      </c>
      <c r="D43" s="7">
        <f t="shared" si="0"/>
        <v>83.657499999999999</v>
      </c>
      <c r="E43" s="23">
        <v>1.5241327603456001</v>
      </c>
      <c r="F43" s="25">
        <v>0.58663362047388001</v>
      </c>
      <c r="G43" s="11">
        <f>IF(F43&lt;&gt;0,DEGREES(ATAN(E43/F43)),0)</f>
        <v>68.94845081517569</v>
      </c>
      <c r="H43" s="11">
        <f t="shared" si="5"/>
        <v>10.407637723418802</v>
      </c>
      <c r="I43" s="35">
        <f t="shared" si="1"/>
        <v>4.8041641464414385E-2</v>
      </c>
      <c r="J43" s="35">
        <f t="shared" si="2"/>
        <v>0.05</v>
      </c>
      <c r="K43" s="35">
        <f t="shared" si="3"/>
        <v>0.05</v>
      </c>
      <c r="L43" s="39">
        <f t="shared" si="6"/>
        <v>84.98304862344682</v>
      </c>
      <c r="M43" s="35">
        <f t="shared" si="4"/>
        <v>57.553227723505771</v>
      </c>
      <c r="N43" s="6" t="e">
        <f ca="1"/>
        <v>#NAME?</v>
      </c>
      <c r="O43" s="6" t="e">
        <f ca="1"/>
        <v>#NAME?</v>
      </c>
      <c r="P43" t="e">
        <f t="shared" ca="1" si="7"/>
        <v>#NAME?</v>
      </c>
      <c r="Q43" t="e">
        <f t="shared" ca="1" si="8"/>
        <v>#NAME?</v>
      </c>
      <c r="R43" t="e">
        <f t="shared" ca="1" si="9"/>
        <v>#NAME?</v>
      </c>
      <c r="S43">
        <v>85.103250601073682</v>
      </c>
      <c r="T43">
        <v>83.033899137987831</v>
      </c>
      <c r="U43">
        <v>0</v>
      </c>
      <c r="V43" t="e">
        <f>0.33*#REF!+0.67*#REF!</f>
        <v>#REF!</v>
      </c>
      <c r="W43">
        <v>0</v>
      </c>
    </row>
    <row r="44" spans="2:23">
      <c r="B44">
        <v>85.47</v>
      </c>
      <c r="C44">
        <v>83.44</v>
      </c>
      <c r="D44" s="7">
        <f t="shared" si="0"/>
        <v>84.454999999999998</v>
      </c>
      <c r="E44" s="23">
        <v>0.69860635347327305</v>
      </c>
      <c r="F44" s="25">
        <v>1.7951497126587801</v>
      </c>
      <c r="G44" s="11">
        <f>IF(F44&lt;&gt;0,DEGREES(ATAN(E44/F44)),0)</f>
        <v>21.264160497959043</v>
      </c>
      <c r="H44" s="11">
        <f t="shared" si="5"/>
        <v>47.68429031721665</v>
      </c>
      <c r="I44" s="35">
        <f t="shared" si="1"/>
        <v>1.0485633668316806E-2</v>
      </c>
      <c r="J44" s="35">
        <f t="shared" si="2"/>
        <v>0.05</v>
      </c>
      <c r="K44" s="35">
        <f t="shared" si="3"/>
        <v>0.05</v>
      </c>
      <c r="L44" s="39">
        <f t="shared" si="6"/>
        <v>84.956646192274476</v>
      </c>
      <c r="M44" s="35">
        <f t="shared" si="4"/>
        <v>58.238313185224989</v>
      </c>
      <c r="N44" s="6" t="e">
        <f ca="1"/>
        <v>#NAME?</v>
      </c>
      <c r="O44" s="6" t="e">
        <f ca="1"/>
        <v>#NAME?</v>
      </c>
      <c r="P44" t="e">
        <f t="shared" ca="1" si="7"/>
        <v>#NAME?</v>
      </c>
      <c r="Q44" t="e">
        <f t="shared" ca="1" si="8"/>
        <v>#NAME?</v>
      </c>
      <c r="R44" t="e">
        <f t="shared" ca="1" si="9"/>
        <v>#NAME?</v>
      </c>
      <c r="S44">
        <v>85.070838071020006</v>
      </c>
      <c r="T44">
        <v>83.084822611313626</v>
      </c>
      <c r="U44">
        <v>0</v>
      </c>
      <c r="V44" t="e">
        <f>0.33*#REF!+0.67*#REF!</f>
        <v>#REF!</v>
      </c>
      <c r="W44">
        <v>0</v>
      </c>
    </row>
    <row r="45" spans="2:23">
      <c r="B45">
        <v>84.47</v>
      </c>
      <c r="C45">
        <v>82.53</v>
      </c>
      <c r="D45" s="7">
        <f t="shared" si="0"/>
        <v>83.5</v>
      </c>
      <c r="E45" s="23">
        <v>-3.54278707768071</v>
      </c>
      <c r="F45" s="25">
        <v>1.6520660975016901</v>
      </c>
      <c r="G45" s="11">
        <f>IF(F45&lt;&gt;0,DEGREES(ATAN(E45/F45)),0)</f>
        <v>-64.999503818323305</v>
      </c>
      <c r="H45" s="11">
        <f t="shared" si="5"/>
        <v>86.263664316282345</v>
      </c>
      <c r="I45" s="35">
        <f t="shared" si="1"/>
        <v>5.796183178200842E-3</v>
      </c>
      <c r="J45" s="35">
        <f t="shared" si="2"/>
        <v>0.05</v>
      </c>
      <c r="K45" s="35">
        <f t="shared" si="3"/>
        <v>0.05</v>
      </c>
      <c r="L45" s="39">
        <f t="shared" si="6"/>
        <v>84.883813882660746</v>
      </c>
      <c r="M45" s="35">
        <f t="shared" si="4"/>
        <v>58.904450702660881</v>
      </c>
      <c r="N45" s="6" t="e">
        <f ca="1"/>
        <v>#NAME?</v>
      </c>
      <c r="O45" s="6" t="e">
        <f ca="1"/>
        <v>#NAME?</v>
      </c>
      <c r="P45" t="e">
        <f t="shared" ca="1" si="7"/>
        <v>#NAME?</v>
      </c>
      <c r="Q45" t="e">
        <f t="shared" ca="1" si="8"/>
        <v>#NAME?</v>
      </c>
      <c r="R45" t="e">
        <f t="shared" ca="1" si="9"/>
        <v>#NAME?</v>
      </c>
      <c r="S45">
        <v>84.992296167468993</v>
      </c>
      <c r="T45">
        <v>83.132509450217512</v>
      </c>
      <c r="U45">
        <v>0</v>
      </c>
      <c r="V45" t="e">
        <f>0.33*#REF!+0.67*#REF!</f>
        <v>#REF!</v>
      </c>
      <c r="W45">
        <v>0</v>
      </c>
    </row>
    <row r="46" spans="2:23">
      <c r="B46">
        <v>88.5</v>
      </c>
      <c r="C46">
        <v>85.064999999999998</v>
      </c>
      <c r="D46" s="7">
        <f t="shared" si="0"/>
        <v>86.782499999999999</v>
      </c>
      <c r="E46" s="23">
        <v>-5.4839343884751797</v>
      </c>
      <c r="F46" s="25">
        <v>-0.706793105275344</v>
      </c>
      <c r="G46" s="11">
        <f>IF(F46&lt;&gt;0,DEGREES(ATAN(E46/F46)),0)</f>
        <v>82.655958717759717</v>
      </c>
      <c r="H46" s="11">
        <f t="shared" si="5"/>
        <v>1</v>
      </c>
      <c r="I46" s="35">
        <f t="shared" si="1"/>
        <v>0.5</v>
      </c>
      <c r="J46" s="35">
        <f t="shared" si="2"/>
        <v>0.5</v>
      </c>
      <c r="K46" s="35">
        <f t="shared" si="3"/>
        <v>0.5</v>
      </c>
      <c r="L46" s="39">
        <f t="shared" si="6"/>
        <v>85.833156941330373</v>
      </c>
      <c r="M46" s="35">
        <f t="shared" si="4"/>
        <v>65.636627262328261</v>
      </c>
      <c r="N46" s="6" t="e">
        <f ca="1"/>
        <v>#NAME?</v>
      </c>
      <c r="O46" s="6" t="e">
        <f ca="1"/>
        <v>#NAME?</v>
      </c>
      <c r="P46" t="e">
        <f t="shared" ca="1" si="7"/>
        <v>#NAME?</v>
      </c>
      <c r="Q46" t="e">
        <f t="shared" ca="1" si="8"/>
        <v>#NAME?</v>
      </c>
      <c r="R46" t="e">
        <f t="shared" ca="1" si="9"/>
        <v>#NAME?</v>
      </c>
      <c r="S46">
        <v>85.887398083734496</v>
      </c>
      <c r="T46">
        <v>83.821231608596747</v>
      </c>
      <c r="U46">
        <v>0</v>
      </c>
      <c r="V46" t="e">
        <f>0.33*#REF!+0.67*#REF!</f>
        <v>#REF!</v>
      </c>
      <c r="W46">
        <v>0</v>
      </c>
    </row>
    <row r="47" spans="2:23">
      <c r="B47">
        <v>89.47</v>
      </c>
      <c r="C47">
        <v>86.875</v>
      </c>
      <c r="D47" s="7">
        <f t="shared" si="0"/>
        <v>88.172499999999999</v>
      </c>
      <c r="E47" s="23">
        <v>-3.7444629224666302</v>
      </c>
      <c r="F47" s="25">
        <v>-2.6440308672041701</v>
      </c>
      <c r="G47" s="11">
        <f>IF(F47&lt;&gt;0,DEGREES(ATAN(E47/F47)),0)</f>
        <v>54.773414990057177</v>
      </c>
      <c r="H47" s="11">
        <f t="shared" si="5"/>
        <v>27.88254372770254</v>
      </c>
      <c r="I47" s="35">
        <f t="shared" si="1"/>
        <v>1.7932366748275835E-2</v>
      </c>
      <c r="J47" s="35">
        <f t="shared" si="2"/>
        <v>0.05</v>
      </c>
      <c r="K47" s="35">
        <f t="shared" si="3"/>
        <v>0.05</v>
      </c>
      <c r="L47" s="39">
        <f t="shared" si="6"/>
        <v>85.950124094263856</v>
      </c>
      <c r="M47" s="35">
        <f t="shared" si="4"/>
        <v>66.144464683126657</v>
      </c>
      <c r="N47" s="6" t="e">
        <f ca="1"/>
        <v>#NAME?</v>
      </c>
      <c r="O47" s="6" t="e">
        <f ca="1"/>
        <v>#NAME?</v>
      </c>
      <c r="P47" t="e">
        <f t="shared" ca="1" si="7"/>
        <v>#NAME?</v>
      </c>
      <c r="Q47" t="e">
        <f t="shared" ca="1" si="8"/>
        <v>#NAME?</v>
      </c>
      <c r="R47" t="e">
        <f t="shared" ca="1" si="9"/>
        <v>#NAME?</v>
      </c>
      <c r="S47">
        <v>86.001653179547773</v>
      </c>
      <c r="T47">
        <v>83.875742147870525</v>
      </c>
      <c r="U47">
        <v>0</v>
      </c>
      <c r="V47" t="e">
        <f>0.33*#REF!+0.67*#REF!</f>
        <v>#REF!</v>
      </c>
      <c r="W47">
        <v>0</v>
      </c>
    </row>
    <row r="48" spans="2:23">
      <c r="B48">
        <v>90</v>
      </c>
      <c r="C48">
        <v>88.53</v>
      </c>
      <c r="D48" s="7">
        <f t="shared" si="0"/>
        <v>89.265000000000001</v>
      </c>
      <c r="E48" s="23">
        <v>-8.4547974989631E-3</v>
      </c>
      <c r="F48" s="25">
        <v>-3.5353609110922402</v>
      </c>
      <c r="G48" s="11">
        <f>IF(F48&lt;&gt;0,DEGREES(ATAN(E48/F48)),0)</f>
        <v>0.13702230182429354</v>
      </c>
      <c r="H48" s="11">
        <f t="shared" si="5"/>
        <v>54.636392688232881</v>
      </c>
      <c r="I48" s="35">
        <f t="shared" si="1"/>
        <v>9.1514094433925858E-3</v>
      </c>
      <c r="J48" s="35">
        <f t="shared" si="2"/>
        <v>0.05</v>
      </c>
      <c r="K48" s="35">
        <f t="shared" si="3"/>
        <v>0.05</v>
      </c>
      <c r="L48" s="39">
        <f t="shared" si="6"/>
        <v>86.115867889550657</v>
      </c>
      <c r="M48" s="35">
        <f t="shared" si="4"/>
        <v>66.643749763287246</v>
      </c>
      <c r="N48" s="6" t="e">
        <f ca="1"/>
        <v>#NAME?</v>
      </c>
      <c r="O48" s="6" t="e">
        <f ca="1"/>
        <v>#NAME?</v>
      </c>
      <c r="P48" t="e">
        <f t="shared" ca="1" si="7"/>
        <v>#NAME?</v>
      </c>
      <c r="Q48" t="e">
        <f t="shared" ca="1" si="8"/>
        <v>#NAME?</v>
      </c>
      <c r="R48" t="e">
        <f t="shared" ca="1" si="9"/>
        <v>#NAME?</v>
      </c>
      <c r="S48">
        <v>86.164820520570387</v>
      </c>
      <c r="T48">
        <v>83.932969107188029</v>
      </c>
      <c r="U48">
        <v>0</v>
      </c>
      <c r="V48" t="e">
        <f>0.33*#REF!+0.67*#REF!</f>
        <v>#REF!</v>
      </c>
      <c r="W48">
        <v>0</v>
      </c>
    </row>
    <row r="49" spans="2:23">
      <c r="B49">
        <v>92.44</v>
      </c>
      <c r="C49">
        <v>89.28</v>
      </c>
      <c r="D49" s="7">
        <f t="shared" si="0"/>
        <v>90.86</v>
      </c>
      <c r="E49" s="23">
        <v>3.7362977190453299</v>
      </c>
      <c r="F49" s="25">
        <v>-2.5527152782709499</v>
      </c>
      <c r="G49" s="11">
        <f>IF(F49&lt;&gt;0,DEGREES(ATAN(E49/F49)),0)</f>
        <v>-55.658309002720287</v>
      </c>
      <c r="H49" s="11">
        <f t="shared" si="5"/>
        <v>55.795331304544582</v>
      </c>
      <c r="I49" s="35">
        <f t="shared" si="1"/>
        <v>8.9613232560781398E-3</v>
      </c>
      <c r="J49" s="35">
        <f t="shared" si="2"/>
        <v>0.05</v>
      </c>
      <c r="K49" s="35">
        <f t="shared" si="3"/>
        <v>0.05</v>
      </c>
      <c r="L49" s="39">
        <f t="shared" si="6"/>
        <v>86.35307449507313</v>
      </c>
      <c r="M49" s="35">
        <f t="shared" si="4"/>
        <v>67.136482881581884</v>
      </c>
      <c r="N49" s="6" t="e">
        <f ca="1"/>
        <v>#NAME?</v>
      </c>
      <c r="O49" s="6" t="e">
        <f ca="1"/>
        <v>#NAME?</v>
      </c>
      <c r="P49" t="e">
        <f t="shared" ca="1" si="7"/>
        <v>#NAME?</v>
      </c>
      <c r="Q49" t="e">
        <f t="shared" ca="1" si="8"/>
        <v>#NAME?</v>
      </c>
      <c r="R49" t="e">
        <f t="shared" ca="1" si="9"/>
        <v>#NAME?</v>
      </c>
      <c r="S49">
        <v>86.399579494541868</v>
      </c>
      <c r="T49">
        <v>83.994634366871878</v>
      </c>
      <c r="U49">
        <v>0</v>
      </c>
      <c r="V49" t="e">
        <f>0.33*#REF!+0.67*#REF!</f>
        <v>#REF!</v>
      </c>
      <c r="W49">
        <v>0</v>
      </c>
    </row>
    <row r="50" spans="2:23">
      <c r="B50">
        <v>91.44</v>
      </c>
      <c r="C50">
        <v>90.125</v>
      </c>
      <c r="D50" s="7">
        <f t="shared" si="0"/>
        <v>90.782499999999999</v>
      </c>
      <c r="E50" s="23">
        <v>5.8839241939620797</v>
      </c>
      <c r="F50" s="25">
        <v>-1.1704091227270601</v>
      </c>
      <c r="G50" s="11">
        <f>IF(F50&lt;&gt;0,DEGREES(ATAN(E50/F50)),0)</f>
        <v>-78.74977676597922</v>
      </c>
      <c r="H50" s="11">
        <f t="shared" si="5"/>
        <v>23.091467763258933</v>
      </c>
      <c r="I50" s="35">
        <f t="shared" si="1"/>
        <v>2.1653019423717838E-2</v>
      </c>
      <c r="J50" s="35">
        <f t="shared" si="2"/>
        <v>0.05</v>
      </c>
      <c r="K50" s="35">
        <f t="shared" si="3"/>
        <v>0.05</v>
      </c>
      <c r="L50" s="39">
        <f t="shared" si="6"/>
        <v>86.574545770319475</v>
      </c>
      <c r="M50" s="35">
        <f t="shared" si="4"/>
        <v>67.622434453800324</v>
      </c>
      <c r="N50" s="6" t="e">
        <f ca="1"/>
        <v>#NAME?</v>
      </c>
      <c r="O50" s="6" t="e">
        <f ca="1"/>
        <v>#NAME?</v>
      </c>
      <c r="P50" t="e">
        <f t="shared" ca="1" si="7"/>
        <v>#NAME?</v>
      </c>
      <c r="Q50" t="e">
        <f t="shared" ca="1" si="8"/>
        <v>#NAME?</v>
      </c>
      <c r="R50" t="e">
        <f t="shared" ca="1" si="9"/>
        <v>#NAME?</v>
      </c>
      <c r="S50">
        <v>86.618725519814774</v>
      </c>
      <c r="T50">
        <v>84.060236645695454</v>
      </c>
      <c r="U50">
        <v>0</v>
      </c>
      <c r="V50" t="e">
        <f>0.33*#REF!+0.67*#REF!</f>
        <v>#REF!</v>
      </c>
      <c r="W50">
        <v>0</v>
      </c>
    </row>
    <row r="51" spans="2:23">
      <c r="B51">
        <v>92.97</v>
      </c>
      <c r="C51">
        <v>90.75</v>
      </c>
      <c r="D51" s="7">
        <f t="shared" si="0"/>
        <v>91.86</v>
      </c>
      <c r="E51" s="23">
        <v>7.6451203678983202</v>
      </c>
      <c r="F51" s="25">
        <v>1.05988741309776</v>
      </c>
      <c r="G51" s="11">
        <f>IF(F51&lt;&gt;0,DEGREES(ATAN(E51/F51)),0)</f>
        <v>82.107064025851372</v>
      </c>
      <c r="H51" s="11">
        <f t="shared" si="5"/>
        <v>1</v>
      </c>
      <c r="I51" s="35">
        <f t="shared" si="1"/>
        <v>0.5</v>
      </c>
      <c r="J51" s="35">
        <f t="shared" si="2"/>
        <v>0.5</v>
      </c>
      <c r="K51" s="35">
        <f t="shared" si="3"/>
        <v>0.5</v>
      </c>
      <c r="L51" s="39">
        <f t="shared" si="6"/>
        <v>89.21727288515973</v>
      </c>
      <c r="M51" s="35">
        <f t="shared" si="4"/>
        <v>73.021144061640172</v>
      </c>
      <c r="N51" s="6" t="e">
        <f ca="1"/>
        <v>#NAME?</v>
      </c>
      <c r="O51" s="6" t="e">
        <f ca="1"/>
        <v>#NAME?</v>
      </c>
      <c r="P51" t="e">
        <f t="shared" ca="1" si="7"/>
        <v>#NAME?</v>
      </c>
      <c r="Q51" t="e">
        <f t="shared" ca="1" si="8"/>
        <v>#NAME?</v>
      </c>
      <c r="R51" t="e">
        <f t="shared" ca="1" si="9"/>
        <v>#NAME?</v>
      </c>
      <c r="S51">
        <v>89.23936275990738</v>
      </c>
      <c r="T51">
        <v>85.355018174248443</v>
      </c>
      <c r="U51">
        <v>0</v>
      </c>
      <c r="V51" t="e">
        <f>0.33*#REF!+0.67*#REF!</f>
        <v>#REF!</v>
      </c>
      <c r="W51">
        <v>0</v>
      </c>
    </row>
    <row r="52" spans="2:23">
      <c r="B52">
        <v>91.72</v>
      </c>
      <c r="C52">
        <v>89</v>
      </c>
      <c r="D52" s="7">
        <f t="shared" si="0"/>
        <v>90.36</v>
      </c>
      <c r="E52" s="23">
        <v>5.2038116920874398</v>
      </c>
      <c r="F52" s="25">
        <v>3.9200772782999498</v>
      </c>
      <c r="G52" s="11">
        <f>IF(F52&lt;&gt;0,DEGREES(ATAN(E52/F52)),0)</f>
        <v>53.008962591253308</v>
      </c>
      <c r="H52" s="11">
        <f t="shared" si="5"/>
        <v>29.098101434598064</v>
      </c>
      <c r="I52" s="35">
        <f t="shared" si="1"/>
        <v>1.7183251667598244E-2</v>
      </c>
      <c r="J52" s="35">
        <f t="shared" si="2"/>
        <v>0.05</v>
      </c>
      <c r="K52" s="35">
        <f t="shared" si="3"/>
        <v>0.05</v>
      </c>
      <c r="L52" s="39">
        <f t="shared" si="6"/>
        <v>89.274409240901747</v>
      </c>
      <c r="M52" s="35">
        <f t="shared" si="4"/>
        <v>73.4274756911217</v>
      </c>
      <c r="N52" s="6" t="e">
        <f ca="1"/>
        <v>#NAME?</v>
      </c>
      <c r="O52" s="6" t="e">
        <f ca="1"/>
        <v>#NAME?</v>
      </c>
      <c r="P52" t="e">
        <f t="shared" ca="1" si="7"/>
        <v>#NAME?</v>
      </c>
      <c r="Q52" t="e">
        <f t="shared" ca="1" si="8"/>
        <v>#NAME?</v>
      </c>
      <c r="R52" t="e">
        <f t="shared" ca="1" si="9"/>
        <v>#NAME?</v>
      </c>
      <c r="S52">
        <v>89.29539462191201</v>
      </c>
      <c r="T52">
        <v>85.453527585440028</v>
      </c>
      <c r="U52">
        <v>0</v>
      </c>
      <c r="V52" t="e">
        <f>0.33*#REF!+0.67*#REF!</f>
        <v>#REF!</v>
      </c>
      <c r="W52">
        <v>0</v>
      </c>
    </row>
    <row r="53" spans="2:23">
      <c r="B53">
        <v>91.155000000000001</v>
      </c>
      <c r="C53">
        <v>88.564999999999998</v>
      </c>
      <c r="D53" s="7">
        <f t="shared" si="0"/>
        <v>89.86</v>
      </c>
      <c r="E53" s="23">
        <v>1.72606488335266</v>
      </c>
      <c r="F53" s="25">
        <v>4.6560200656612496</v>
      </c>
      <c r="G53" s="11">
        <f>IF(F53&lt;&gt;0,DEGREES(ATAN(E53/F53)),0)</f>
        <v>20.340589748745177</v>
      </c>
      <c r="H53" s="11">
        <f t="shared" si="5"/>
        <v>32.668372842508134</v>
      </c>
      <c r="I53" s="35">
        <f t="shared" si="1"/>
        <v>1.5305323053904885E-2</v>
      </c>
      <c r="J53" s="35">
        <f t="shared" si="2"/>
        <v>0.05</v>
      </c>
      <c r="K53" s="35">
        <f t="shared" si="3"/>
        <v>0.05</v>
      </c>
      <c r="L53" s="39">
        <f t="shared" si="6"/>
        <v>89.303688778856653</v>
      </c>
      <c r="M53" s="35">
        <f t="shared" si="4"/>
        <v>73.824381018315066</v>
      </c>
      <c r="N53" s="6" t="e">
        <f ca="1"/>
        <v>#NAME?</v>
      </c>
      <c r="O53" s="6" t="e">
        <f ca="1"/>
        <v>#NAME?</v>
      </c>
      <c r="P53" t="e">
        <f t="shared" ca="1" si="7"/>
        <v>#NAME?</v>
      </c>
      <c r="Q53" t="e">
        <f t="shared" ca="1" si="8"/>
        <v>#NAME?</v>
      </c>
      <c r="R53" t="e">
        <f t="shared" ca="1" si="9"/>
        <v>#NAME?</v>
      </c>
      <c r="S53">
        <v>89.323624890816404</v>
      </c>
      <c r="T53">
        <v>85.550280018074432</v>
      </c>
      <c r="U53">
        <v>0</v>
      </c>
      <c r="V53" t="e">
        <f>0.33*#REF!+0.67*#REF!</f>
        <v>#REF!</v>
      </c>
      <c r="W53">
        <v>0</v>
      </c>
    </row>
    <row r="54" spans="2:23">
      <c r="B54">
        <v>91.75</v>
      </c>
      <c r="C54">
        <v>90.094999999999999</v>
      </c>
      <c r="D54" s="7">
        <f t="shared" si="0"/>
        <v>90.922499999999999</v>
      </c>
      <c r="E54" s="23">
        <v>-0.91765091601934201</v>
      </c>
      <c r="F54" s="25">
        <v>4.9157151193899704</v>
      </c>
      <c r="G54" s="11">
        <f>IF(F54&lt;&gt;0,DEGREES(ATAN(E54/F54)),0)</f>
        <v>-10.574095140791469</v>
      </c>
      <c r="H54" s="11">
        <f t="shared" si="5"/>
        <v>30.914684889536645</v>
      </c>
      <c r="I54" s="35">
        <f t="shared" si="1"/>
        <v>1.6173543472514238E-2</v>
      </c>
      <c r="J54" s="35">
        <f t="shared" si="2"/>
        <v>0.05</v>
      </c>
      <c r="K54" s="35">
        <f t="shared" si="3"/>
        <v>0.05</v>
      </c>
      <c r="L54" s="39">
        <f t="shared" si="6"/>
        <v>89.384629339913815</v>
      </c>
      <c r="M54" s="35">
        <f t="shared" si="4"/>
        <v>74.213387226355039</v>
      </c>
      <c r="N54" s="6" t="e">
        <f ca="1"/>
        <v>#NAME?</v>
      </c>
      <c r="O54" s="6" t="e">
        <f ca="1"/>
        <v>#NAME?</v>
      </c>
      <c r="P54" t="e">
        <f t="shared" ca="1" si="7"/>
        <v>#NAME?</v>
      </c>
      <c r="Q54" t="e">
        <f t="shared" ca="1" si="8"/>
        <v>#NAME?</v>
      </c>
      <c r="R54" t="e">
        <f t="shared" ca="1" si="9"/>
        <v>#NAME?</v>
      </c>
      <c r="S54">
        <v>89.403568646275588</v>
      </c>
      <c r="T54">
        <v>85.646612233779464</v>
      </c>
      <c r="U54">
        <v>0</v>
      </c>
      <c r="V54" t="e">
        <f>0.33*#REF!+0.67*#REF!</f>
        <v>#REF!</v>
      </c>
      <c r="W54">
        <v>0</v>
      </c>
    </row>
    <row r="55" spans="2:23">
      <c r="B55">
        <v>90</v>
      </c>
      <c r="C55">
        <v>89</v>
      </c>
      <c r="D55" s="7">
        <f t="shared" si="0"/>
        <v>89.5</v>
      </c>
      <c r="E55" s="23">
        <v>-3.3200985443723998</v>
      </c>
      <c r="F55" s="25">
        <v>3.76591185896309</v>
      </c>
      <c r="G55" s="11">
        <f>IF(F55&lt;&gt;0,DEGREES(ATAN(E55/F55)),0)</f>
        <v>-41.400005412941262</v>
      </c>
      <c r="H55" s="11">
        <f t="shared" si="5"/>
        <v>30.825910272149791</v>
      </c>
      <c r="I55" s="35">
        <f t="shared" si="1"/>
        <v>1.6220121176818376E-2</v>
      </c>
      <c r="J55" s="35">
        <f t="shared" si="2"/>
        <v>0.05</v>
      </c>
      <c r="K55" s="35">
        <f t="shared" si="3"/>
        <v>0.05</v>
      </c>
      <c r="L55" s="39">
        <f t="shared" si="6"/>
        <v>89.390397872918115</v>
      </c>
      <c r="M55" s="35">
        <f t="shared" si="4"/>
        <v>74.592812492519116</v>
      </c>
      <c r="N55" s="6" t="e">
        <f ca="1"/>
        <v>#NAME?</v>
      </c>
      <c r="O55" s="6" t="e">
        <f ca="1"/>
        <v>#NAME?</v>
      </c>
      <c r="P55" t="e">
        <f t="shared" ca="1" si="7"/>
        <v>#NAME?</v>
      </c>
      <c r="Q55" t="e">
        <f t="shared" ca="1" si="8"/>
        <v>#NAME?</v>
      </c>
      <c r="R55" t="e">
        <f t="shared" ca="1" si="9"/>
        <v>#NAME?</v>
      </c>
      <c r="S55">
        <v>89.408390213961795</v>
      </c>
      <c r="T55">
        <v>85.740656683284016</v>
      </c>
      <c r="U55">
        <v>0</v>
      </c>
      <c r="V55" t="e">
        <f>0.33*#REF!+0.67*#REF!</f>
        <v>#REF!</v>
      </c>
      <c r="W55">
        <v>0</v>
      </c>
    </row>
    <row r="56" spans="2:23">
      <c r="B56">
        <v>88.875</v>
      </c>
      <c r="C56">
        <v>86.47</v>
      </c>
      <c r="D56" s="7">
        <f t="shared" si="0"/>
        <v>87.672499999999999</v>
      </c>
      <c r="E56" s="23">
        <v>-3.4624195870869099</v>
      </c>
      <c r="F56" s="25">
        <v>2.4900186350541702</v>
      </c>
      <c r="G56" s="11">
        <f>IF(F56&lt;&gt;0,DEGREES(ATAN(E56/F56)),0)</f>
        <v>-54.277986183026449</v>
      </c>
      <c r="H56" s="11">
        <f t="shared" si="5"/>
        <v>12.877980770085188</v>
      </c>
      <c r="I56" s="35">
        <f t="shared" si="1"/>
        <v>3.882596261996845E-2</v>
      </c>
      <c r="J56" s="35">
        <f t="shared" si="2"/>
        <v>0.05</v>
      </c>
      <c r="K56" s="35">
        <f t="shared" si="3"/>
        <v>0.05</v>
      </c>
      <c r="L56" s="39">
        <f t="shared" si="6"/>
        <v>89.3045029792722</v>
      </c>
      <c r="M56" s="35">
        <f t="shared" si="4"/>
        <v>74.960604754687935</v>
      </c>
      <c r="N56" s="6" t="e">
        <f ca="1"/>
        <v>#NAME?</v>
      </c>
      <c r="O56" s="6" t="e">
        <f ca="1"/>
        <v>#NAME?</v>
      </c>
      <c r="P56" t="e">
        <f t="shared" ca="1" si="7"/>
        <v>#NAME?</v>
      </c>
      <c r="Q56" t="e">
        <f t="shared" ca="1" si="8"/>
        <v>#NAME?</v>
      </c>
      <c r="R56" t="e">
        <f t="shared" ca="1" si="9"/>
        <v>#NAME?</v>
      </c>
      <c r="S56">
        <v>89.321595703263696</v>
      </c>
      <c r="T56">
        <v>85.830180158783506</v>
      </c>
      <c r="U56">
        <v>0</v>
      </c>
      <c r="V56" t="e">
        <f>0.33*#REF!+0.67*#REF!</f>
        <v>#REF!</v>
      </c>
      <c r="W56">
        <v>0</v>
      </c>
    </row>
    <row r="57" spans="2:23">
      <c r="B57">
        <v>89</v>
      </c>
      <c r="C57">
        <v>84</v>
      </c>
      <c r="D57" s="7">
        <f t="shared" si="0"/>
        <v>86.5</v>
      </c>
      <c r="E57" s="23">
        <v>-3.90405509948644</v>
      </c>
      <c r="F57" s="25">
        <v>1.2326348427417</v>
      </c>
      <c r="G57" s="11">
        <f>IF(F57&lt;&gt;0,DEGREES(ATAN(E57/F57)),0)</f>
        <v>-72.477429828215534</v>
      </c>
      <c r="H57" s="11">
        <f t="shared" si="5"/>
        <v>18.199443645189085</v>
      </c>
      <c r="I57" s="35">
        <f t="shared" si="1"/>
        <v>2.7473367304399553E-2</v>
      </c>
      <c r="J57" s="35">
        <f t="shared" si="2"/>
        <v>0.05</v>
      </c>
      <c r="K57" s="35">
        <f t="shared" si="3"/>
        <v>0.05</v>
      </c>
      <c r="L57" s="39">
        <f t="shared" si="6"/>
        <v>89.164277830308592</v>
      </c>
      <c r="M57" s="35">
        <f t="shared" si="4"/>
        <v>75.31569658157845</v>
      </c>
      <c r="N57" s="6" t="e">
        <f ca="1"/>
        <v>#NAME?</v>
      </c>
      <c r="O57" s="6" t="e">
        <f ca="1"/>
        <v>#NAME?</v>
      </c>
      <c r="P57" t="e">
        <f t="shared" ca="1" si="7"/>
        <v>#NAME?</v>
      </c>
      <c r="Q57" t="e">
        <f t="shared" ca="1" si="8"/>
        <v>#NAME?</v>
      </c>
      <c r="R57" t="e">
        <f t="shared" ca="1" si="9"/>
        <v>#NAME?</v>
      </c>
      <c r="S57">
        <v>89.180515918100511</v>
      </c>
      <c r="T57">
        <v>85.913938552766439</v>
      </c>
      <c r="U57">
        <v>0</v>
      </c>
      <c r="V57" t="e">
        <f>0.33*#REF!+0.67*#REF!</f>
        <v>#REF!</v>
      </c>
      <c r="W57">
        <v>0</v>
      </c>
    </row>
    <row r="58" spans="2:23">
      <c r="B58">
        <v>85.25</v>
      </c>
      <c r="C58">
        <v>83.314999999999998</v>
      </c>
      <c r="D58" s="7">
        <f t="shared" si="0"/>
        <v>84.282499999999999</v>
      </c>
      <c r="E58" s="23">
        <v>-2.7012372476722799</v>
      </c>
      <c r="F58" s="25">
        <v>-0.49033546352134999</v>
      </c>
      <c r="G58" s="11">
        <f>IF(F58&lt;&gt;0,DEGREES(ATAN(E58/F58)),0)</f>
        <v>79.711551010727945</v>
      </c>
      <c r="H58" s="11">
        <f t="shared" si="5"/>
        <v>1</v>
      </c>
      <c r="I58" s="35">
        <f t="shared" si="1"/>
        <v>0.5</v>
      </c>
      <c r="J58" s="35">
        <f t="shared" si="2"/>
        <v>0.5</v>
      </c>
      <c r="K58" s="35">
        <f t="shared" si="3"/>
        <v>0.5</v>
      </c>
      <c r="L58" s="39">
        <f t="shared" si="6"/>
        <v>86.723388915154288</v>
      </c>
      <c r="M58" s="35">
        <f t="shared" si="4"/>
        <v>78.16761966497242</v>
      </c>
      <c r="N58" s="6" t="e">
        <f ca="1"/>
        <v>#NAME?</v>
      </c>
      <c r="O58" s="6" t="e">
        <f ca="1"/>
        <v>#NAME?</v>
      </c>
      <c r="P58" t="e">
        <f t="shared" ca="1" si="7"/>
        <v>#NAME?</v>
      </c>
      <c r="Q58" t="e">
        <f t="shared" ca="1" si="8"/>
        <v>#NAME?</v>
      </c>
      <c r="R58" t="e">
        <f t="shared" ca="1" si="9"/>
        <v>#NAME?</v>
      </c>
      <c r="S58">
        <v>86.731507959050248</v>
      </c>
      <c r="T58">
        <v>86.118330904337384</v>
      </c>
      <c r="U58">
        <v>0</v>
      </c>
      <c r="V58" t="e">
        <f>0.33*#REF!+0.67*#REF!</f>
        <v>#REF!</v>
      </c>
      <c r="W58">
        <v>0</v>
      </c>
    </row>
    <row r="59" spans="2:23">
      <c r="B59">
        <v>83.814999999999998</v>
      </c>
      <c r="C59">
        <v>82</v>
      </c>
      <c r="D59" s="7">
        <f t="shared" si="0"/>
        <v>82.907499999999999</v>
      </c>
      <c r="E59" s="23">
        <v>-1.3211098293529699</v>
      </c>
      <c r="F59" s="25">
        <v>-0.56114651019646999</v>
      </c>
      <c r="G59" s="11">
        <f>IF(F59&lt;&gt;0,DEGREES(ATAN(E59/F59)),0)</f>
        <v>66.986453841122383</v>
      </c>
      <c r="H59" s="11">
        <f t="shared" si="5"/>
        <v>12.725097169605561</v>
      </c>
      <c r="I59" s="35">
        <f t="shared" si="1"/>
        <v>3.9292430803143208E-2</v>
      </c>
      <c r="J59" s="35">
        <f t="shared" si="2"/>
        <v>0.05</v>
      </c>
      <c r="K59" s="35">
        <f t="shared" si="3"/>
        <v>0.05</v>
      </c>
      <c r="L59" s="39">
        <f t="shared" si="6"/>
        <v>86.532594469396571</v>
      </c>
      <c r="M59" s="35">
        <f t="shared" si="4"/>
        <v>78.376744035083021</v>
      </c>
      <c r="N59" s="6" t="e">
        <f ca="1"/>
        <v>#NAME?</v>
      </c>
      <c r="O59" s="6" t="e">
        <f ca="1"/>
        <v>#NAME?</v>
      </c>
      <c r="P59" t="e">
        <f t="shared" ca="1" si="7"/>
        <v>#NAME?</v>
      </c>
      <c r="Q59" t="e">
        <f t="shared" ca="1" si="8"/>
        <v>#NAME?</v>
      </c>
      <c r="R59" t="e">
        <f t="shared" ca="1" si="9"/>
        <v>#NAME?</v>
      </c>
      <c r="S59">
        <v>86.540307561097734</v>
      </c>
      <c r="T59">
        <v>86.128880320756394</v>
      </c>
      <c r="U59">
        <v>0</v>
      </c>
      <c r="V59" t="e">
        <f>0.33*#REF!+0.67*#REF!</f>
        <v>#REF!</v>
      </c>
      <c r="W59">
        <v>0</v>
      </c>
    </row>
    <row r="60" spans="2:23">
      <c r="B60">
        <v>85.25</v>
      </c>
      <c r="C60">
        <v>83.25</v>
      </c>
      <c r="D60" s="7">
        <f t="shared" si="0"/>
        <v>84.25</v>
      </c>
      <c r="E60" s="23">
        <v>-2.4417061378785099</v>
      </c>
      <c r="F60" s="25">
        <v>-0.93583714283203701</v>
      </c>
      <c r="G60" s="11">
        <f>IF(F60&lt;&gt;0,DEGREES(ATAN(E60/F60)),0)</f>
        <v>69.029579806050094</v>
      </c>
      <c r="H60" s="11">
        <f t="shared" si="5"/>
        <v>1</v>
      </c>
      <c r="I60" s="35">
        <f t="shared" si="1"/>
        <v>0.5</v>
      </c>
      <c r="J60" s="35">
        <f t="shared" si="2"/>
        <v>0.5</v>
      </c>
      <c r="K60" s="35">
        <f t="shared" si="3"/>
        <v>0.5</v>
      </c>
      <c r="L60" s="39">
        <f t="shared" si="6"/>
        <v>85.391297234698285</v>
      </c>
      <c r="M60" s="35">
        <f t="shared" si="4"/>
        <v>80.130382334986834</v>
      </c>
      <c r="N60" s="6" t="e">
        <f ca="1"/>
        <v>#NAME?</v>
      </c>
      <c r="O60" s="6" t="e">
        <f ca="1"/>
        <v>#NAME?</v>
      </c>
      <c r="P60" t="e">
        <f t="shared" ca="1" si="7"/>
        <v>#NAME?</v>
      </c>
      <c r="Q60" t="e">
        <f t="shared" ca="1" si="8"/>
        <v>#NAME?</v>
      </c>
      <c r="R60" t="e">
        <f t="shared" ca="1" si="9"/>
        <v>#NAME?</v>
      </c>
      <c r="S60">
        <v>85.395153780548867</v>
      </c>
      <c r="T60">
        <v>85.94544868570452</v>
      </c>
      <c r="U60">
        <v>0</v>
      </c>
      <c r="V60" t="e">
        <f>0.33*#REF!+0.67*#REF!</f>
        <v>#REF!</v>
      </c>
      <c r="W60">
        <v>0</v>
      </c>
    </row>
    <row r="61" spans="2:23">
      <c r="B61">
        <v>86.625</v>
      </c>
      <c r="C61">
        <v>84.75</v>
      </c>
      <c r="D61" s="7">
        <f t="shared" si="0"/>
        <v>85.6875</v>
      </c>
      <c r="E61" s="23">
        <v>-2.6860421931692402</v>
      </c>
      <c r="F61" s="25">
        <v>-2.2207364380055901</v>
      </c>
      <c r="G61" s="11">
        <f>IF(F61&lt;&gt;0,DEGREES(ATAN(E61/F61)),0)</f>
        <v>50.417112167767023</v>
      </c>
      <c r="H61" s="11">
        <f t="shared" si="5"/>
        <v>18.612467638283071</v>
      </c>
      <c r="I61" s="35">
        <f t="shared" si="1"/>
        <v>2.6863713598704909E-2</v>
      </c>
      <c r="J61" s="35">
        <f t="shared" si="2"/>
        <v>0.05</v>
      </c>
      <c r="K61" s="35">
        <f t="shared" si="3"/>
        <v>0.05</v>
      </c>
      <c r="L61" s="39">
        <f t="shared" si="6"/>
        <v>85.406107372963362</v>
      </c>
      <c r="M61" s="35">
        <f t="shared" si="4"/>
        <v>80.262275460936252</v>
      </c>
      <c r="N61" s="6" t="e">
        <f ca="1"/>
        <v>#NAME?</v>
      </c>
      <c r="O61" s="6" t="e">
        <f ca="1"/>
        <v>#NAME?</v>
      </c>
      <c r="P61" t="e">
        <f t="shared" ca="1" si="7"/>
        <v>#NAME?</v>
      </c>
      <c r="Q61" t="e">
        <f t="shared" ca="1" si="8"/>
        <v>#NAME?</v>
      </c>
      <c r="R61" t="e">
        <f t="shared" ca="1" si="9"/>
        <v>#NAME?</v>
      </c>
      <c r="S61">
        <v>85.409771091521421</v>
      </c>
      <c r="T61">
        <v>85.932056745849948</v>
      </c>
      <c r="U61">
        <v>0</v>
      </c>
      <c r="V61" t="e">
        <f>0.33*#REF!+0.67*#REF!</f>
        <v>#REF!</v>
      </c>
      <c r="W61">
        <v>0</v>
      </c>
    </row>
    <row r="62" spans="2:23">
      <c r="B62">
        <v>87.94</v>
      </c>
      <c r="C62">
        <v>85.28</v>
      </c>
      <c r="D62" s="7">
        <f t="shared" si="0"/>
        <v>86.61</v>
      </c>
      <c r="E62" s="23">
        <v>-1.97671599438123</v>
      </c>
      <c r="F62" s="25">
        <v>-3.0695561834966498</v>
      </c>
      <c r="G62" s="11">
        <f>IF(F62&lt;&gt;0,DEGREES(ATAN(E62/F62)),0)</f>
        <v>32.780503627004599</v>
      </c>
      <c r="H62" s="11">
        <f t="shared" si="5"/>
        <v>17.636608540762424</v>
      </c>
      <c r="I62" s="35">
        <f t="shared" si="1"/>
        <v>2.8350121784717301E-2</v>
      </c>
      <c r="J62" s="35">
        <f t="shared" si="2"/>
        <v>0.05</v>
      </c>
      <c r="K62" s="35">
        <f t="shared" si="3"/>
        <v>0.05</v>
      </c>
      <c r="L62" s="39">
        <f t="shared" si="6"/>
        <v>85.466302004315196</v>
      </c>
      <c r="M62" s="35">
        <f t="shared" si="4"/>
        <v>80.392376124520723</v>
      </c>
      <c r="N62" s="6" t="e">
        <f ca="1"/>
        <v>#NAME?</v>
      </c>
      <c r="O62" s="6" t="e">
        <f ca="1"/>
        <v>#NAME?</v>
      </c>
      <c r="P62" t="e">
        <f t="shared" ca="1" si="7"/>
        <v>#NAME?</v>
      </c>
      <c r="Q62" t="e">
        <f t="shared" ca="1" si="8"/>
        <v>#NAME?</v>
      </c>
      <c r="R62" t="e">
        <f t="shared" ca="1" si="9"/>
        <v>#NAME?</v>
      </c>
      <c r="S62">
        <v>85.469782536945345</v>
      </c>
      <c r="T62">
        <v>85.920499890627326</v>
      </c>
      <c r="U62">
        <v>0</v>
      </c>
      <c r="V62" t="e">
        <f>0.33*#REF!+0.67*#REF!</f>
        <v>#REF!</v>
      </c>
      <c r="W62">
        <v>0</v>
      </c>
    </row>
    <row r="63" spans="2:23">
      <c r="B63">
        <v>89.375</v>
      </c>
      <c r="C63">
        <v>87.19</v>
      </c>
      <c r="D63" s="7">
        <f t="shared" si="0"/>
        <v>88.282499999999999</v>
      </c>
      <c r="E63" s="23">
        <v>-0.97343296809565305</v>
      </c>
      <c r="F63" s="25">
        <v>-3.9070266093399</v>
      </c>
      <c r="G63" s="11">
        <f>IF(F63&lt;&gt;0,DEGREES(ATAN(E63/F63)),0)</f>
        <v>13.990360243729487</v>
      </c>
      <c r="H63" s="11">
        <f t="shared" si="5"/>
        <v>18.790143383275112</v>
      </c>
      <c r="I63" s="35">
        <f t="shared" si="1"/>
        <v>2.6609695828348184E-2</v>
      </c>
      <c r="J63" s="35">
        <f t="shared" si="2"/>
        <v>0.05</v>
      </c>
      <c r="K63" s="35">
        <f t="shared" si="3"/>
        <v>0.05</v>
      </c>
      <c r="L63" s="39">
        <f t="shared" si="6"/>
        <v>85.607111904099426</v>
      </c>
      <c r="M63" s="35">
        <f t="shared" si="4"/>
        <v>80.522744519010189</v>
      </c>
      <c r="N63" s="6" t="e">
        <f ca="1"/>
        <v>#NAME?</v>
      </c>
      <c r="O63" s="6" t="e">
        <f ca="1"/>
        <v>#NAME?</v>
      </c>
      <c r="P63" t="e">
        <f t="shared" ca="1" si="7"/>
        <v>#NAME?</v>
      </c>
      <c r="Q63" t="e">
        <f t="shared" ca="1" si="8"/>
        <v>#NAME?</v>
      </c>
      <c r="R63" t="e">
        <f t="shared" ca="1" si="9"/>
        <v>#NAME?</v>
      </c>
      <c r="S63">
        <v>85.610418410098077</v>
      </c>
      <c r="T63">
        <v>85.912747853614093</v>
      </c>
      <c r="U63">
        <v>0</v>
      </c>
      <c r="V63" t="e">
        <f>0.33*#REF!+0.67*#REF!</f>
        <v>#REF!</v>
      </c>
      <c r="W63">
        <v>0</v>
      </c>
    </row>
    <row r="64" spans="2:23">
      <c r="B64">
        <v>90.625</v>
      </c>
      <c r="C64">
        <v>88.44</v>
      </c>
      <c r="D64" s="7">
        <f t="shared" si="0"/>
        <v>89.532499999999999</v>
      </c>
      <c r="E64" s="23">
        <v>1.9604950887538799</v>
      </c>
      <c r="F64" s="25">
        <v>-4.1974174698144902</v>
      </c>
      <c r="G64" s="11">
        <f>IF(F64&lt;&gt;0,DEGREES(ATAN(E64/F64)),0)</f>
        <v>-25.035949083987141</v>
      </c>
      <c r="H64" s="11">
        <f t="shared" si="5"/>
        <v>39.026309327716632</v>
      </c>
      <c r="I64" s="35">
        <f t="shared" si="1"/>
        <v>1.2811869956785744E-2</v>
      </c>
      <c r="J64" s="35">
        <f t="shared" si="2"/>
        <v>0.05</v>
      </c>
      <c r="K64" s="35">
        <f t="shared" si="3"/>
        <v>0.05</v>
      </c>
      <c r="L64" s="39">
        <f t="shared" si="6"/>
        <v>85.803381308894444</v>
      </c>
      <c r="M64" s="35">
        <f t="shared" si="4"/>
        <v>80.654760438757293</v>
      </c>
      <c r="N64" s="6" t="e">
        <f ca="1"/>
        <v>#NAME?</v>
      </c>
      <c r="O64" s="6" t="e">
        <f ca="1"/>
        <v>#NAME?</v>
      </c>
      <c r="P64" t="e">
        <f t="shared" ca="1" si="7"/>
        <v>#NAME?</v>
      </c>
      <c r="Q64" t="e">
        <f t="shared" ca="1" si="8"/>
        <v>#NAME?</v>
      </c>
      <c r="R64" t="e">
        <f t="shared" ca="1" si="9"/>
        <v>#NAME?</v>
      </c>
      <c r="S64">
        <v>85.806522489593164</v>
      </c>
      <c r="T64">
        <v>85.910092219513572</v>
      </c>
      <c r="U64">
        <v>0</v>
      </c>
      <c r="V64" t="e">
        <f>0.33*#REF!+0.67*#REF!</f>
        <v>#REF!</v>
      </c>
      <c r="W64">
        <v>0</v>
      </c>
    </row>
    <row r="65" spans="2:23">
      <c r="B65">
        <v>90.75</v>
      </c>
      <c r="C65">
        <v>88.25</v>
      </c>
      <c r="D65" s="7">
        <f t="shared" si="0"/>
        <v>89.5</v>
      </c>
      <c r="E65" s="23">
        <v>5.1566509229234603</v>
      </c>
      <c r="F65" s="25">
        <v>-2.60291265737315</v>
      </c>
      <c r="G65" s="11">
        <f>IF(F65&lt;&gt;0,DEGREES(ATAN(E65/F65)),0)</f>
        <v>-63.216814361143406</v>
      </c>
      <c r="H65" s="11">
        <f t="shared" si="5"/>
        <v>38.180865277156265</v>
      </c>
      <c r="I65" s="35">
        <f t="shared" si="1"/>
        <v>1.3095564921603587E-2</v>
      </c>
      <c r="J65" s="35">
        <f t="shared" si="2"/>
        <v>0.05</v>
      </c>
      <c r="K65" s="35">
        <f t="shared" si="3"/>
        <v>0.05</v>
      </c>
      <c r="L65" s="39">
        <f t="shared" si="6"/>
        <v>85.988212243449709</v>
      </c>
      <c r="M65" s="35">
        <f t="shared" si="4"/>
        <v>80.78809673387461</v>
      </c>
      <c r="N65" s="6" t="e">
        <f ca="1"/>
        <v>#NAME?</v>
      </c>
      <c r="O65" s="6" t="e">
        <f ca="1"/>
        <v>#NAME?</v>
      </c>
      <c r="P65" t="e">
        <f t="shared" ca="1" si="7"/>
        <v>#NAME?</v>
      </c>
      <c r="Q65" t="e">
        <f t="shared" ca="1" si="8"/>
        <v>#NAME?</v>
      </c>
      <c r="R65" t="e">
        <f t="shared" ca="1" si="9"/>
        <v>#NAME?</v>
      </c>
      <c r="S65">
        <v>85.991196365113495</v>
      </c>
      <c r="T65">
        <v>85.912119823153574</v>
      </c>
      <c r="U65">
        <v>0</v>
      </c>
      <c r="V65" t="e">
        <f>0.33*#REF!+0.67*#REF!</f>
        <v>#REF!</v>
      </c>
      <c r="W65">
        <v>0</v>
      </c>
    </row>
    <row r="66" spans="2:23">
      <c r="B66">
        <v>88.844999999999999</v>
      </c>
      <c r="C66">
        <v>87.344999999999999</v>
      </c>
      <c r="D66" s="7">
        <f t="shared" si="0"/>
        <v>88.094999999999999</v>
      </c>
      <c r="E66" s="23">
        <v>5.6826155164007099</v>
      </c>
      <c r="F66" s="25">
        <v>-0.12543717596241399</v>
      </c>
      <c r="G66" s="11">
        <f>IF(F66&lt;&gt;0,DEGREES(ATAN(E66/F66)),0)</f>
        <v>-88.73546718161721</v>
      </c>
      <c r="H66" s="11">
        <f t="shared" si="5"/>
        <v>25.518652820473804</v>
      </c>
      <c r="I66" s="35">
        <f t="shared" si="1"/>
        <v>1.9593510814130684E-2</v>
      </c>
      <c r="J66" s="35">
        <f t="shared" si="2"/>
        <v>0.05</v>
      </c>
      <c r="K66" s="35">
        <f t="shared" si="3"/>
        <v>0.05</v>
      </c>
      <c r="L66" s="39">
        <f t="shared" si="6"/>
        <v>86.093551631277222</v>
      </c>
      <c r="M66" s="35">
        <f t="shared" si="4"/>
        <v>80.920733106309669</v>
      </c>
      <c r="N66" s="6" t="e">
        <f ca="1"/>
        <v>#NAME?</v>
      </c>
      <c r="O66" s="6" t="e">
        <f ca="1"/>
        <v>#NAME?</v>
      </c>
      <c r="P66" t="e">
        <f t="shared" ca="1" si="7"/>
        <v>#NAME?</v>
      </c>
      <c r="Q66" t="e">
        <f t="shared" ca="1" si="8"/>
        <v>#NAME?</v>
      </c>
      <c r="R66" t="e">
        <f t="shared" ca="1" si="9"/>
        <v>#NAME?</v>
      </c>
      <c r="S66">
        <v>86.096386546857815</v>
      </c>
      <c r="T66">
        <v>85.91672649124618</v>
      </c>
      <c r="U66">
        <v>0</v>
      </c>
      <c r="V66" t="e">
        <f>0.33*#REF!+0.67*#REF!</f>
        <v>#REF!</v>
      </c>
      <c r="W66">
        <v>0</v>
      </c>
    </row>
    <row r="67" spans="2:23">
      <c r="B67">
        <v>91.97</v>
      </c>
      <c r="C67">
        <v>89.28</v>
      </c>
      <c r="D67" s="7">
        <f t="shared" si="0"/>
        <v>90.625</v>
      </c>
      <c r="E67" s="23">
        <v>4.4595775058005103</v>
      </c>
      <c r="F67" s="25">
        <v>1.7477933000757799</v>
      </c>
      <c r="G67" s="11">
        <f>IF(F67&lt;&gt;0,DEGREES(ATAN(E67/F67)),0)</f>
        <v>68.598841880314779</v>
      </c>
      <c r="H67" s="11">
        <f t="shared" si="5"/>
        <v>1</v>
      </c>
      <c r="I67" s="35">
        <f t="shared" si="1"/>
        <v>0.5</v>
      </c>
      <c r="J67" s="35">
        <f t="shared" si="2"/>
        <v>0.5</v>
      </c>
      <c r="K67" s="35">
        <f t="shared" si="3"/>
        <v>0.5</v>
      </c>
      <c r="L67" s="39">
        <f t="shared" si="6"/>
        <v>88.359275815638611</v>
      </c>
      <c r="M67" s="35">
        <f t="shared" si="4"/>
        <v>82.780368783641904</v>
      </c>
      <c r="N67" s="6" t="e">
        <f ca="1"/>
        <v>#NAME?</v>
      </c>
      <c r="O67" s="6" t="e">
        <f ca="1"/>
        <v>#NAME?</v>
      </c>
      <c r="P67" t="e">
        <f t="shared" ca="1" si="7"/>
        <v>#NAME?</v>
      </c>
      <c r="Q67" t="e">
        <f t="shared" ca="1" si="8"/>
        <v>#NAME?</v>
      </c>
      <c r="R67" t="e">
        <f t="shared" ca="1" si="9"/>
        <v>#NAME?</v>
      </c>
      <c r="S67">
        <v>88.360693273428907</v>
      </c>
      <c r="T67">
        <v>86.527718186791859</v>
      </c>
      <c r="U67">
        <v>0</v>
      </c>
      <c r="V67" t="e">
        <f>0.33*#REF!+0.67*#REF!</f>
        <v>#REF!</v>
      </c>
      <c r="W67">
        <v>0</v>
      </c>
    </row>
    <row r="68" spans="2:23">
      <c r="B68">
        <v>93.375</v>
      </c>
      <c r="C68">
        <v>91.094999999999999</v>
      </c>
      <c r="D68" s="7">
        <f t="shared" si="0"/>
        <v>92.234999999999999</v>
      </c>
      <c r="E68" s="23">
        <v>2.5114251227276498</v>
      </c>
      <c r="F68" s="25">
        <v>3.0783561617081299</v>
      </c>
      <c r="G68" s="11">
        <f>IF(F68&lt;&gt;0,DEGREES(ATAN(E68/F68)),0)</f>
        <v>39.208707318687054</v>
      </c>
      <c r="H68" s="11">
        <f t="shared" si="5"/>
        <v>29.390134561627725</v>
      </c>
      <c r="I68" s="35">
        <f t="shared" si="1"/>
        <v>1.7012511424592414E-2</v>
      </c>
      <c r="J68" s="35">
        <f t="shared" si="2"/>
        <v>0.05</v>
      </c>
      <c r="K68" s="35">
        <f t="shared" si="3"/>
        <v>0.05</v>
      </c>
      <c r="L68" s="39">
        <f t="shared" si="6"/>
        <v>88.553062024856672</v>
      </c>
      <c r="M68" s="35">
        <f t="shared" si="4"/>
        <v>82.924686114672269</v>
      </c>
      <c r="N68" s="6" t="e">
        <f ca="1"/>
        <v>#NAME?</v>
      </c>
      <c r="O68" s="6" t="e">
        <f ca="1"/>
        <v>#NAME?</v>
      </c>
      <c r="P68" t="e">
        <f t="shared" ca="1" si="7"/>
        <v>#NAME?</v>
      </c>
      <c r="Q68" t="e">
        <f t="shared" ca="1" si="8"/>
        <v>#NAME?</v>
      </c>
      <c r="R68" t="e">
        <f t="shared" ca="1" si="9"/>
        <v>#NAME?</v>
      </c>
      <c r="S68">
        <v>88.554408609757459</v>
      </c>
      <c r="T68">
        <v>86.578385447366003</v>
      </c>
      <c r="U68">
        <v>0</v>
      </c>
      <c r="V68" t="e">
        <f>0.33*#REF!+0.67*#REF!</f>
        <v>#REF!</v>
      </c>
      <c r="W68">
        <v>0</v>
      </c>
    </row>
    <row r="69" spans="2:23">
      <c r="B69">
        <v>93.814999999999998</v>
      </c>
      <c r="C69">
        <v>89.53</v>
      </c>
      <c r="D69" s="7">
        <f t="shared" si="0"/>
        <v>91.672499999999999</v>
      </c>
      <c r="E69" s="23">
        <v>0.14925722491527901</v>
      </c>
      <c r="F69" s="25">
        <v>3.5443206375888598</v>
      </c>
      <c r="G69" s="11">
        <f>IF(F69&lt;&gt;0,DEGREES(ATAN(E69/F69)),0)</f>
        <v>2.4113955985553779</v>
      </c>
      <c r="H69" s="11">
        <f t="shared" si="5"/>
        <v>36.797311720131674</v>
      </c>
      <c r="I69" s="35">
        <f t="shared" si="1"/>
        <v>1.3587949136144417E-2</v>
      </c>
      <c r="J69" s="35">
        <f t="shared" si="2"/>
        <v>0.05</v>
      </c>
      <c r="K69" s="35">
        <f t="shared" si="3"/>
        <v>0.05</v>
      </c>
      <c r="L69" s="39">
        <f t="shared" si="6"/>
        <v>88.709033923613831</v>
      </c>
      <c r="M69" s="35">
        <f t="shared" si="4"/>
        <v>83.069294809895794</v>
      </c>
      <c r="N69" s="6" t="e">
        <f ca="1"/>
        <v>#NAME?</v>
      </c>
      <c r="O69" s="6" t="e">
        <f ca="1"/>
        <v>#NAME?</v>
      </c>
      <c r="P69" t="e">
        <f t="shared" ca="1" si="7"/>
        <v>#NAME?</v>
      </c>
      <c r="Q69" t="e">
        <f t="shared" ca="1" si="8"/>
        <v>#NAME?</v>
      </c>
      <c r="R69" t="e">
        <f t="shared" ca="1" si="9"/>
        <v>#NAME?</v>
      </c>
      <c r="S69">
        <v>88.710313179269576</v>
      </c>
      <c r="T69">
        <v>86.631683640663596</v>
      </c>
      <c r="U69">
        <v>0</v>
      </c>
      <c r="V69" t="e">
        <f>0.33*#REF!+0.67*#REF!</f>
        <v>#REF!</v>
      </c>
      <c r="W69">
        <v>0</v>
      </c>
    </row>
    <row r="70" spans="2:23">
      <c r="B70">
        <v>94.03</v>
      </c>
      <c r="C70">
        <v>91.155000000000001</v>
      </c>
      <c r="D70" s="7">
        <f t="shared" ref="D70:D133" si="10">(B70+C70)/2</f>
        <v>92.592500000000001</v>
      </c>
      <c r="E70" s="23">
        <v>-1.9299154958074201</v>
      </c>
      <c r="F70" s="25">
        <v>2.9865758393000799</v>
      </c>
      <c r="G70" s="11">
        <f>IF(F70&lt;&gt;0,DEGREES(ATAN(E70/F70)),0)</f>
        <v>-32.870411644424443</v>
      </c>
      <c r="H70" s="11">
        <f t="shared" si="5"/>
        <v>35.281807242979824</v>
      </c>
      <c r="I70" s="35">
        <f t="shared" si="1"/>
        <v>1.4171609650168563E-2</v>
      </c>
      <c r="J70" s="35">
        <f t="shared" si="2"/>
        <v>0.05</v>
      </c>
      <c r="K70" s="35">
        <f t="shared" si="3"/>
        <v>0.05</v>
      </c>
      <c r="L70" s="39">
        <f t="shared" si="6"/>
        <v>88.903207227433143</v>
      </c>
      <c r="M70" s="35">
        <f t="shared" si="4"/>
        <v>83.21514262033422</v>
      </c>
      <c r="N70" s="6" t="e">
        <f ca="1"/>
        <v>#NAME?</v>
      </c>
      <c r="O70" s="6" t="e">
        <f ca="1"/>
        <v>#NAME?</v>
      </c>
      <c r="P70" t="e">
        <f t="shared" ca="1" si="7"/>
        <v>#NAME?</v>
      </c>
      <c r="Q70" t="e">
        <f t="shared" ca="1" si="8"/>
        <v>#NAME?</v>
      </c>
      <c r="R70" t="e">
        <f t="shared" ca="1" si="9"/>
        <v>#NAME?</v>
      </c>
      <c r="S70">
        <v>88.904422520306099</v>
      </c>
      <c r="T70">
        <v>86.688502112654646</v>
      </c>
      <c r="U70">
        <v>0</v>
      </c>
      <c r="V70" t="e">
        <f>0.33*#REF!+0.67*#REF!</f>
        <v>#REF!</v>
      </c>
      <c r="W70">
        <v>0</v>
      </c>
    </row>
    <row r="71" spans="2:23">
      <c r="B71">
        <v>94.03</v>
      </c>
      <c r="C71">
        <v>92</v>
      </c>
      <c r="D71" s="7">
        <f t="shared" si="10"/>
        <v>93.015000000000001</v>
      </c>
      <c r="E71" s="23">
        <v>-1.8076076573239299</v>
      </c>
      <c r="F71" s="25">
        <v>1.51191377343487</v>
      </c>
      <c r="G71" s="11">
        <f>IF(F71&lt;&gt;0,DEGREES(ATAN(E71/F71)),0)</f>
        <v>-50.090316119986475</v>
      </c>
      <c r="H71" s="11">
        <f t="shared" si="5"/>
        <v>17.219904475562032</v>
      </c>
      <c r="I71" s="35">
        <f t="shared" si="1"/>
        <v>2.9036165717968115E-2</v>
      </c>
      <c r="J71" s="35">
        <f t="shared" si="2"/>
        <v>0.05</v>
      </c>
      <c r="K71" s="35">
        <f t="shared" si="3"/>
        <v>0.05</v>
      </c>
      <c r="L71" s="39">
        <f t="shared" si="6"/>
        <v>89.108796866061482</v>
      </c>
      <c r="M71" s="35">
        <f t="shared" si="4"/>
        <v>83.362483976477407</v>
      </c>
      <c r="N71" s="6" t="e">
        <f ca="1"/>
        <v>#NAME?</v>
      </c>
      <c r="O71" s="6" t="e">
        <f ca="1"/>
        <v>#NAME?</v>
      </c>
      <c r="P71" t="e">
        <f t="shared" ca="1" si="7"/>
        <v>#NAME?</v>
      </c>
      <c r="Q71" t="e">
        <f t="shared" ca="1" si="8"/>
        <v>#NAME?</v>
      </c>
      <c r="R71" t="e">
        <f t="shared" ca="1" si="9"/>
        <v>#NAME?</v>
      </c>
      <c r="S71">
        <v>89.109951394290789</v>
      </c>
      <c r="T71">
        <v>86.749038344695549</v>
      </c>
      <c r="U71">
        <v>0</v>
      </c>
      <c r="V71" t="e">
        <f>0.33*#REF!+0.67*#REF!</f>
        <v>#REF!</v>
      </c>
      <c r="W71">
        <v>0</v>
      </c>
    </row>
    <row r="72" spans="2:23">
      <c r="B72">
        <v>91.814999999999998</v>
      </c>
      <c r="C72">
        <v>90.53</v>
      </c>
      <c r="D72" s="7">
        <f t="shared" si="10"/>
        <v>91.172499999999999</v>
      </c>
      <c r="E72" s="23">
        <v>0.71402518729548903</v>
      </c>
      <c r="F72" s="25">
        <v>1.30815869786988</v>
      </c>
      <c r="G72" s="11">
        <f>IF(F72&lt;&gt;0,DEGREES(ATAN(E72/F72)),0)</f>
        <v>28.626797591900971</v>
      </c>
      <c r="H72" s="11">
        <f t="shared" si="5"/>
        <v>1</v>
      </c>
      <c r="I72" s="35">
        <f t="shared" si="1"/>
        <v>0.5</v>
      </c>
      <c r="J72" s="35">
        <f t="shared" si="2"/>
        <v>0.5</v>
      </c>
      <c r="K72" s="35">
        <f t="shared" si="3"/>
        <v>0.5</v>
      </c>
      <c r="L72" s="39">
        <f t="shared" si="6"/>
        <v>90.140648433030748</v>
      </c>
      <c r="M72" s="35">
        <f t="shared" si="4"/>
        <v>85.057025090615753</v>
      </c>
      <c r="N72" s="6" t="e">
        <f ca="1"/>
        <v>#NAME?</v>
      </c>
      <c r="O72" s="6" t="e">
        <f ca="1"/>
        <v>#NAME?</v>
      </c>
      <c r="P72" t="e">
        <f t="shared" ca="1" si="7"/>
        <v>#NAME?</v>
      </c>
      <c r="Q72" t="e">
        <f t="shared" ca="1" si="8"/>
        <v>#NAME?</v>
      </c>
      <c r="R72" t="e">
        <f t="shared" ca="1" si="9"/>
        <v>#NAME?</v>
      </c>
      <c r="S72">
        <v>90.141225697145387</v>
      </c>
      <c r="T72">
        <v>87.597085182808001</v>
      </c>
      <c r="U72">
        <v>0</v>
      </c>
      <c r="V72" t="e">
        <f>0.33*#REF!+0.67*#REF!</f>
        <v>#REF!</v>
      </c>
      <c r="W72">
        <v>0</v>
      </c>
    </row>
    <row r="73" spans="2:23">
      <c r="B73">
        <v>92</v>
      </c>
      <c r="C73">
        <v>89.97</v>
      </c>
      <c r="D73" s="7">
        <f t="shared" si="10"/>
        <v>90.984999999999999</v>
      </c>
      <c r="E73" s="23">
        <v>0.79750540960029404</v>
      </c>
      <c r="F73" s="25">
        <v>2.5014179179760698</v>
      </c>
      <c r="G73" s="11">
        <f>IF(F73&lt;&gt;0,DEGREES(ATAN(E73/F73)),0)</f>
        <v>17.683391329752411</v>
      </c>
      <c r="H73" s="11">
        <f t="shared" si="5"/>
        <v>10.94340626214856</v>
      </c>
      <c r="I73" s="35">
        <f t="shared" si="1"/>
        <v>4.5689613272370019E-2</v>
      </c>
      <c r="J73" s="35">
        <f t="shared" si="2"/>
        <v>0.05</v>
      </c>
      <c r="K73" s="35">
        <f t="shared" si="3"/>
        <v>0.05</v>
      </c>
      <c r="L73" s="39">
        <f t="shared" si="6"/>
        <v>90.182866011379204</v>
      </c>
      <c r="M73" s="35">
        <f t="shared" si="4"/>
        <v>85.185171113634837</v>
      </c>
      <c r="N73" s="6" t="e">
        <f ca="1"/>
        <v>#NAME?</v>
      </c>
      <c r="O73" s="6" t="e">
        <f ca="1"/>
        <v>#NAME?</v>
      </c>
      <c r="P73" t="e">
        <f t="shared" ca="1" si="7"/>
        <v>#NAME?</v>
      </c>
      <c r="Q73" t="e">
        <f t="shared" ca="1" si="8"/>
        <v>#NAME?</v>
      </c>
      <c r="R73" t="e">
        <f t="shared" ca="1" si="9"/>
        <v>#NAME?</v>
      </c>
      <c r="S73">
        <v>90.183414412288116</v>
      </c>
      <c r="T73">
        <v>87.661743413544997</v>
      </c>
      <c r="U73">
        <v>0</v>
      </c>
      <c r="V73" t="e">
        <f>0.33*#REF!+0.67*#REF!</f>
        <v>#REF!</v>
      </c>
      <c r="W73">
        <v>0</v>
      </c>
    </row>
    <row r="74" spans="2:23">
      <c r="B74">
        <v>91.94</v>
      </c>
      <c r="C74">
        <v>88.814999999999998</v>
      </c>
      <c r="D74" s="7">
        <f t="shared" si="10"/>
        <v>90.377499999999998</v>
      </c>
      <c r="E74" s="23">
        <v>-0.81775576616191403</v>
      </c>
      <c r="F74" s="25">
        <v>2.34576278603341</v>
      </c>
      <c r="G74" s="11">
        <f>IF(F74&lt;&gt;0,DEGREES(ATAN(E74/F74)),0)</f>
        <v>-19.219052668822652</v>
      </c>
      <c r="H74" s="11">
        <f t="shared" si="5"/>
        <v>36.902443998575066</v>
      </c>
      <c r="I74" s="35">
        <f t="shared" si="1"/>
        <v>1.3549238094346997E-2</v>
      </c>
      <c r="J74" s="35">
        <f t="shared" si="2"/>
        <v>0.05</v>
      </c>
      <c r="K74" s="35">
        <f t="shared" si="3"/>
        <v>0.05</v>
      </c>
      <c r="L74" s="39">
        <f t="shared" si="6"/>
        <v>90.192597710810233</v>
      </c>
      <c r="M74" s="35">
        <f t="shared" si="4"/>
        <v>85.310356778564213</v>
      </c>
      <c r="N74" s="6" t="e">
        <f ca="1"/>
        <v>#NAME?</v>
      </c>
      <c r="O74" s="6" t="e">
        <f ca="1"/>
        <v>#NAME?</v>
      </c>
      <c r="P74" t="e">
        <f t="shared" ca="1" si="7"/>
        <v>#NAME?</v>
      </c>
      <c r="Q74" t="e">
        <f t="shared" ca="1" si="8"/>
        <v>#NAME?</v>
      </c>
      <c r="R74" t="e">
        <f t="shared" ca="1" si="9"/>
        <v>#NAME?</v>
      </c>
      <c r="S74">
        <v>90.193118691673703</v>
      </c>
      <c r="T74">
        <v>87.725027795498221</v>
      </c>
      <c r="U74">
        <v>0</v>
      </c>
      <c r="V74" t="e">
        <f>0.33*#REF!+0.67*#REF!</f>
        <v>#REF!</v>
      </c>
      <c r="W74">
        <v>0</v>
      </c>
    </row>
    <row r="75" spans="2:23">
      <c r="B75">
        <v>89.75</v>
      </c>
      <c r="C75">
        <v>86.75</v>
      </c>
      <c r="D75" s="7">
        <f t="shared" si="10"/>
        <v>88.25</v>
      </c>
      <c r="E75" s="23">
        <v>-1.1902547129391901</v>
      </c>
      <c r="F75" s="25">
        <v>1.9234549500273199</v>
      </c>
      <c r="G75" s="11">
        <f>IF(F75&lt;&gt;0,DEGREES(ATAN(E75/F75)),0)</f>
        <v>-31.749669875706292</v>
      </c>
      <c r="H75" s="11">
        <f t="shared" si="5"/>
        <v>12.53061720688364</v>
      </c>
      <c r="I75" s="35">
        <f t="shared" si="1"/>
        <v>3.9902264329432009E-2</v>
      </c>
      <c r="J75" s="35">
        <f t="shared" si="2"/>
        <v>0.05</v>
      </c>
      <c r="K75" s="35">
        <f t="shared" si="3"/>
        <v>0.05</v>
      </c>
      <c r="L75" s="39">
        <f t="shared" si="6"/>
        <v>90.095467825269708</v>
      </c>
      <c r="M75" s="35">
        <f t="shared" si="4"/>
        <v>85.429984554731845</v>
      </c>
      <c r="N75" s="6" t="e">
        <f ca="1"/>
        <v>#NAME?</v>
      </c>
      <c r="O75" s="6" t="e">
        <f ca="1"/>
        <v>#NAME?</v>
      </c>
      <c r="P75" t="e">
        <f t="shared" ca="1" si="7"/>
        <v>#NAME?</v>
      </c>
      <c r="Q75" t="e">
        <f t="shared" ca="1" si="8"/>
        <v>#NAME?</v>
      </c>
      <c r="R75" t="e">
        <f t="shared" ca="1" si="9"/>
        <v>#NAME?</v>
      </c>
      <c r="S75">
        <v>90.095962757090007</v>
      </c>
      <c r="T75">
        <v>87.784301169538011</v>
      </c>
      <c r="U75">
        <v>0</v>
      </c>
      <c r="V75" t="e">
        <f>0.33*#REF!+0.67*#REF!</f>
        <v>#REF!</v>
      </c>
      <c r="W75">
        <v>0</v>
      </c>
    </row>
    <row r="76" spans="2:23">
      <c r="B76">
        <v>88.75</v>
      </c>
      <c r="C76">
        <v>85.064999999999998</v>
      </c>
      <c r="D76" s="7">
        <f t="shared" si="10"/>
        <v>86.907499999999999</v>
      </c>
      <c r="E76" s="23">
        <v>-2.6985446089415399</v>
      </c>
      <c r="F76" s="25">
        <v>1.59713846933048</v>
      </c>
      <c r="G76" s="11">
        <f>IF(F76&lt;&gt;0,DEGREES(ATAN(E76/F76)),0)</f>
        <v>-59.380755565587968</v>
      </c>
      <c r="H76" s="11">
        <f t="shared" si="5"/>
        <v>27.631085689881676</v>
      </c>
      <c r="I76" s="35">
        <f t="shared" si="1"/>
        <v>1.8095561123140983E-2</v>
      </c>
      <c r="J76" s="35">
        <f t="shared" si="2"/>
        <v>0.05</v>
      </c>
      <c r="K76" s="35">
        <f t="shared" si="3"/>
        <v>0.05</v>
      </c>
      <c r="L76" s="39">
        <f t="shared" si="6"/>
        <v>89.936069434006228</v>
      </c>
      <c r="M76" s="35">
        <f t="shared" si="4"/>
        <v>85.542636676713698</v>
      </c>
      <c r="N76" s="6" t="e">
        <f ca="1"/>
        <v>#NAME?</v>
      </c>
      <c r="O76" s="6" t="e">
        <f ca="1"/>
        <v>#NAME?</v>
      </c>
      <c r="P76" t="e">
        <f t="shared" ca="1" si="7"/>
        <v>#NAME?</v>
      </c>
      <c r="Q76" t="e">
        <f t="shared" ca="1" si="8"/>
        <v>#NAME?</v>
      </c>
      <c r="R76" t="e">
        <f t="shared" ca="1" si="9"/>
        <v>#NAME?</v>
      </c>
      <c r="S76">
        <v>89.936539619235504</v>
      </c>
      <c r="T76">
        <v>87.838107130780443</v>
      </c>
      <c r="U76">
        <v>0</v>
      </c>
      <c r="V76" t="e">
        <f>0.33*#REF!+0.67*#REF!</f>
        <v>#REF!</v>
      </c>
      <c r="W76">
        <v>0</v>
      </c>
    </row>
    <row r="77" spans="2:23">
      <c r="B77">
        <v>86.155000000000001</v>
      </c>
      <c r="C77">
        <v>82.03</v>
      </c>
      <c r="D77" s="7">
        <f t="shared" si="10"/>
        <v>84.092500000000001</v>
      </c>
      <c r="E77" s="23">
        <v>-4.0225996755498201</v>
      </c>
      <c r="F77" s="25">
        <v>6.62588013522247E-2</v>
      </c>
      <c r="G77" s="11">
        <f>IF(F77&lt;&gt;0,DEGREES(ATAN(E77/F77)),0)</f>
        <v>-89.056330060205042</v>
      </c>
      <c r="H77" s="11">
        <f t="shared" si="5"/>
        <v>29.675574494617074</v>
      </c>
      <c r="I77" s="35">
        <f t="shared" si="1"/>
        <v>1.6848873476424064E-2</v>
      </c>
      <c r="J77" s="35">
        <f t="shared" si="2"/>
        <v>0.05</v>
      </c>
      <c r="K77" s="35">
        <f t="shared" si="3"/>
        <v>0.05</v>
      </c>
      <c r="L77" s="39">
        <f t="shared" si="6"/>
        <v>89.643890962305903</v>
      </c>
      <c r="M77" s="35">
        <f t="shared" si="4"/>
        <v>85.645168033853508</v>
      </c>
      <c r="N77" s="6" t="e">
        <f ca="1"/>
        <v>#NAME?</v>
      </c>
      <c r="O77" s="6" t="e">
        <f ca="1"/>
        <v>#NAME?</v>
      </c>
      <c r="P77" t="e">
        <f t="shared" ca="1" si="7"/>
        <v>#NAME?</v>
      </c>
      <c r="Q77" t="e">
        <f t="shared" ca="1" si="8"/>
        <v>#NAME?</v>
      </c>
      <c r="R77" t="e">
        <f t="shared" ca="1" si="9"/>
        <v>#NAME?</v>
      </c>
      <c r="S77">
        <v>89.644337638273726</v>
      </c>
      <c r="T77">
        <v>87.883262893467787</v>
      </c>
      <c r="U77">
        <v>0</v>
      </c>
      <c r="V77" t="e">
        <f>0.33*#REF!+0.67*#REF!</f>
        <v>#REF!</v>
      </c>
      <c r="W77">
        <v>0</v>
      </c>
    </row>
    <row r="78" spans="2:23">
      <c r="B78">
        <v>84.875</v>
      </c>
      <c r="C78">
        <v>81.5</v>
      </c>
      <c r="D78" s="7">
        <f t="shared" si="10"/>
        <v>83.1875</v>
      </c>
      <c r="E78" s="23">
        <v>-3.1198118074479102</v>
      </c>
      <c r="F78" s="25">
        <v>-1.2132241804953701</v>
      </c>
      <c r="G78" s="11">
        <f>IF(F78&lt;&gt;0,DEGREES(ATAN(E78/F78)),0)</f>
        <v>68.750068258397022</v>
      </c>
      <c r="H78" s="11">
        <f t="shared" si="5"/>
        <v>1</v>
      </c>
      <c r="I78" s="35">
        <f t="shared" si="1"/>
        <v>0.5</v>
      </c>
      <c r="J78" s="35">
        <f t="shared" si="2"/>
        <v>0.5</v>
      </c>
      <c r="K78" s="35">
        <f t="shared" si="3"/>
        <v>0.5</v>
      </c>
      <c r="L78" s="39">
        <f t="shared" si="6"/>
        <v>86.415695481152952</v>
      </c>
      <c r="M78" s="35">
        <f t="shared" si="4"/>
        <v>85.837799895678373</v>
      </c>
      <c r="N78" s="6" t="e">
        <f ca="1"/>
        <v>#NAME?</v>
      </c>
      <c r="O78" s="6" t="e">
        <f ca="1"/>
        <v>#NAME?</v>
      </c>
      <c r="P78" t="e">
        <f t="shared" ca="1" si="7"/>
        <v>#NAME?</v>
      </c>
      <c r="Q78" t="e">
        <f t="shared" ca="1" si="8"/>
        <v>#NAME?</v>
      </c>
      <c r="R78" t="e">
        <f t="shared" ca="1" si="9"/>
        <v>#NAME?</v>
      </c>
      <c r="S78">
        <v>86.415918819136863</v>
      </c>
      <c r="T78">
        <v>87.51642687488507</v>
      </c>
      <c r="U78">
        <v>0</v>
      </c>
      <c r="V78" t="e">
        <f>0.33*#REF!+0.67*#REF!</f>
        <v>#REF!</v>
      </c>
      <c r="W78">
        <v>0</v>
      </c>
    </row>
    <row r="79" spans="2:23">
      <c r="B79">
        <v>85.94</v>
      </c>
      <c r="C79">
        <v>82.564999999999998</v>
      </c>
      <c r="D79" s="7">
        <f t="shared" si="10"/>
        <v>84.252499999999998</v>
      </c>
      <c r="E79" s="23">
        <v>-3.3857607390336302</v>
      </c>
      <c r="F79" s="25">
        <v>-1.7678975836022901</v>
      </c>
      <c r="G79" s="11">
        <f>IF(F79&lt;&gt;0,DEGREES(ATAN(E79/F79)),0)</f>
        <v>62.428386774905221</v>
      </c>
      <c r="H79" s="11">
        <f t="shared" si="5"/>
        <v>6.3216814834918011</v>
      </c>
      <c r="I79" s="35">
        <f t="shared" si="1"/>
        <v>7.9092880795351844E-2</v>
      </c>
      <c r="J79" s="35">
        <f t="shared" si="2"/>
        <v>7.9092880795351844E-2</v>
      </c>
      <c r="K79" s="35">
        <f t="shared" si="3"/>
        <v>7.9092880795351844E-2</v>
      </c>
      <c r="L79" s="39">
        <f t="shared" si="6"/>
        <v>86.244602118825071</v>
      </c>
      <c r="M79" s="35">
        <f t="shared" si="4"/>
        <v>85.853887475549683</v>
      </c>
      <c r="N79" s="6" t="e">
        <f ca="1"/>
        <v>#NAME?</v>
      </c>
      <c r="O79" s="6" t="e">
        <f ca="1"/>
        <v>#NAME?</v>
      </c>
      <c r="P79" t="e">
        <f t="shared" ca="1" si="7"/>
        <v>#NAME?</v>
      </c>
      <c r="Q79" t="e">
        <f t="shared" ca="1" si="8"/>
        <v>#NAME?</v>
      </c>
      <c r="R79" t="e">
        <f t="shared" ca="1" si="9"/>
        <v>#NAME?</v>
      </c>
      <c r="S79">
        <v>86.246574660952732</v>
      </c>
      <c r="T79">
        <v>87.466727285447178</v>
      </c>
      <c r="U79">
        <v>0</v>
      </c>
      <c r="V79" t="e">
        <f>0.33*#REF!+0.67*#REF!</f>
        <v>#REF!</v>
      </c>
      <c r="W79">
        <v>0</v>
      </c>
    </row>
    <row r="80" spans="2:23">
      <c r="B80">
        <v>99.375</v>
      </c>
      <c r="C80">
        <v>96.344999999999999</v>
      </c>
      <c r="D80" s="7">
        <f t="shared" si="10"/>
        <v>97.86</v>
      </c>
      <c r="E80" s="23">
        <v>-3.6033707771083399</v>
      </c>
      <c r="F80" s="25">
        <v>-3.1374982393879698</v>
      </c>
      <c r="G80" s="11">
        <f>IF(F80&lt;&gt;0,DEGREES(ATAN(E80/F80)),0)</f>
        <v>48.953518942156578</v>
      </c>
      <c r="H80" s="11">
        <f t="shared" si="5"/>
        <v>13.474867832748643</v>
      </c>
      <c r="I80" s="35">
        <f t="shared" si="1"/>
        <v>3.7106115340502642E-2</v>
      </c>
      <c r="J80" s="35">
        <f t="shared" si="2"/>
        <v>0.05</v>
      </c>
      <c r="K80" s="35">
        <f t="shared" si="3"/>
        <v>0.05</v>
      </c>
      <c r="L80" s="39">
        <f t="shared" si="6"/>
        <v>86.825372012883818</v>
      </c>
      <c r="M80" s="35">
        <f t="shared" si="4"/>
        <v>85.878174588983029</v>
      </c>
      <c r="N80" s="6" t="e">
        <f ca="1"/>
        <v>#NAME?</v>
      </c>
      <c r="O80" s="6" t="e">
        <f ca="1"/>
        <v>#NAME?</v>
      </c>
      <c r="P80" t="e">
        <f t="shared" ca="1" si="7"/>
        <v>#NAME?</v>
      </c>
      <c r="Q80" t="e">
        <f t="shared" ca="1" si="8"/>
        <v>#NAME?</v>
      </c>
      <c r="R80" t="e">
        <f t="shared" ca="1" si="9"/>
        <v>#NAME?</v>
      </c>
      <c r="S80">
        <v>86.827245927905096</v>
      </c>
      <c r="T80">
        <v>87.45074025150862</v>
      </c>
      <c r="U80">
        <v>0</v>
      </c>
      <c r="V80" t="e">
        <f>0.33*#REF!+0.67*#REF!</f>
        <v>#REF!</v>
      </c>
      <c r="W80">
        <v>0</v>
      </c>
    </row>
    <row r="81" spans="2:23">
      <c r="B81">
        <v>103.28</v>
      </c>
      <c r="C81">
        <v>96.47</v>
      </c>
      <c r="D81" s="7">
        <f t="shared" si="10"/>
        <v>99.875</v>
      </c>
      <c r="E81" s="23">
        <v>-2.3398423024880599</v>
      </c>
      <c r="F81" s="25">
        <v>-4.1580482786503596</v>
      </c>
      <c r="G81" s="11">
        <f t="shared" ref="G81:G144" si="11">IF(F81&lt;&gt;0,DEGREES(ATAN(E81/F81)),0)</f>
        <v>29.367593572148536</v>
      </c>
      <c r="H81" s="11">
        <f t="shared" si="5"/>
        <v>19.585925370008042</v>
      </c>
      <c r="I81" s="35">
        <f t="shared" si="1"/>
        <v>2.5528535953968801E-2</v>
      </c>
      <c r="J81" s="35">
        <f t="shared" si="2"/>
        <v>0.05</v>
      </c>
      <c r="K81" s="35">
        <f t="shared" si="3"/>
        <v>0.05</v>
      </c>
      <c r="L81" s="39">
        <f t="shared" si="6"/>
        <v>87.477853412239625</v>
      </c>
      <c r="M81" s="35">
        <f t="shared" si="4"/>
        <v>85.91816655956444</v>
      </c>
      <c r="N81" s="6" t="e">
        <f ca="1"/>
        <v>#NAME?</v>
      </c>
      <c r="O81" s="6" t="e">
        <f ca="1"/>
        <v>#NAME?</v>
      </c>
      <c r="P81" t="e">
        <f t="shared" ca="1" si="7"/>
        <v>#NAME?</v>
      </c>
      <c r="Q81" t="e">
        <f t="shared" ca="1" si="8"/>
        <v>#NAME?</v>
      </c>
      <c r="R81" t="e">
        <f t="shared" ca="1" si="9"/>
        <v>#NAME?</v>
      </c>
      <c r="S81">
        <v>87.479633631509842</v>
      </c>
      <c r="T81">
        <v>87.451462586008645</v>
      </c>
      <c r="U81">
        <v>0</v>
      </c>
      <c r="V81" t="e">
        <f>0.33*#REF!+0.67*#REF!</f>
        <v>#REF!</v>
      </c>
      <c r="W81">
        <v>0</v>
      </c>
    </row>
    <row r="82" spans="2:23">
      <c r="B82">
        <v>105.375</v>
      </c>
      <c r="C82">
        <v>101.155</v>
      </c>
      <c r="D82" s="7">
        <f t="shared" si="10"/>
        <v>103.265</v>
      </c>
      <c r="E82" s="23">
        <v>1.3994165568480399</v>
      </c>
      <c r="F82" s="25">
        <v>-5.0918573154078004</v>
      </c>
      <c r="G82" s="11">
        <f t="shared" si="11"/>
        <v>-15.367419396713871</v>
      </c>
      <c r="H82" s="11">
        <f t="shared" ref="H82:H145" si="12">IF( (G81-G82) &lt; 1, 1, (G81-G82))</f>
        <v>44.735012968862407</v>
      </c>
      <c r="I82" s="35">
        <f t="shared" si="1"/>
        <v>1.1176927574560505E-2</v>
      </c>
      <c r="J82" s="35">
        <f t="shared" si="2"/>
        <v>0.05</v>
      </c>
      <c r="K82" s="35">
        <f t="shared" si="3"/>
        <v>0.05</v>
      </c>
      <c r="L82" s="39">
        <f t="shared" si="6"/>
        <v>88.26721074162765</v>
      </c>
      <c r="M82" s="35">
        <f t="shared" si="4"/>
        <v>85.976892664116022</v>
      </c>
      <c r="N82" s="6" t="e">
        <f ca="1"/>
        <v>#NAME?</v>
      </c>
      <c r="O82" s="6" t="e">
        <f ca="1"/>
        <v>#NAME?</v>
      </c>
      <c r="P82" t="e">
        <f t="shared" ca="1" si="7"/>
        <v>#NAME?</v>
      </c>
      <c r="Q82" t="e">
        <f t="shared" ca="1" si="8"/>
        <v>#NAME?</v>
      </c>
      <c r="R82" t="e">
        <f t="shared" ca="1" si="9"/>
        <v>#NAME?</v>
      </c>
      <c r="S82">
        <v>88.268901949934346</v>
      </c>
      <c r="T82">
        <v>87.471898570106788</v>
      </c>
      <c r="U82">
        <v>0</v>
      </c>
      <c r="V82" t="e">
        <f>0.33*#REF!+0.67*#REF!</f>
        <v>#REF!</v>
      </c>
      <c r="W82">
        <v>0</v>
      </c>
    </row>
    <row r="83" spans="2:23">
      <c r="B83">
        <v>107.625</v>
      </c>
      <c r="C83">
        <v>104.25</v>
      </c>
      <c r="D83" s="7">
        <f t="shared" si="10"/>
        <v>105.9375</v>
      </c>
      <c r="E83" s="23">
        <v>7.6193795834450402</v>
      </c>
      <c r="F83" s="25">
        <v>-4.51822095077251</v>
      </c>
      <c r="G83" s="11">
        <f t="shared" si="11"/>
        <v>-59.332454936594814</v>
      </c>
      <c r="H83" s="11">
        <f t="shared" si="12"/>
        <v>43.965035539880944</v>
      </c>
      <c r="I83" s="35">
        <f t="shared" si="1"/>
        <v>1.1372673622575536E-2</v>
      </c>
      <c r="J83" s="35">
        <f t="shared" si="2"/>
        <v>0.05</v>
      </c>
      <c r="K83" s="35">
        <f t="shared" si="3"/>
        <v>0.05</v>
      </c>
      <c r="L83" s="39">
        <f t="shared" si="6"/>
        <v>89.150725204546262</v>
      </c>
      <c r="M83" s="35">
        <f t="shared" si="4"/>
        <v>86.056238477626763</v>
      </c>
      <c r="N83" s="6" t="e">
        <f ca="1"/>
        <v>#NAME?</v>
      </c>
      <c r="O83" s="6" t="e">
        <f ca="1"/>
        <v>#NAME?</v>
      </c>
      <c r="P83" t="e">
        <f t="shared" ca="1" si="7"/>
        <v>#NAME?</v>
      </c>
      <c r="Q83" t="e">
        <f t="shared" ca="1" si="8"/>
        <v>#NAME?</v>
      </c>
      <c r="R83" t="e">
        <f t="shared" ca="1" si="9"/>
        <v>#NAME?</v>
      </c>
      <c r="S83">
        <v>89.152331852437626</v>
      </c>
      <c r="T83">
        <v>87.513909402165055</v>
      </c>
      <c r="U83">
        <v>0</v>
      </c>
      <c r="V83" t="e">
        <f>0.33*#REF!+0.67*#REF!</f>
        <v>#REF!</v>
      </c>
      <c r="W83">
        <v>0</v>
      </c>
    </row>
    <row r="84" spans="2:23">
      <c r="B84">
        <v>105.25</v>
      </c>
      <c r="C84">
        <v>101.75</v>
      </c>
      <c r="D84" s="7">
        <f t="shared" si="10"/>
        <v>103.5</v>
      </c>
      <c r="E84" s="23">
        <v>17.5980032115596</v>
      </c>
      <c r="F84" s="25">
        <v>-1.6590757163341101</v>
      </c>
      <c r="G84" s="11">
        <f t="shared" si="11"/>
        <v>-84.614280870948889</v>
      </c>
      <c r="H84" s="11">
        <f t="shared" si="12"/>
        <v>25.281825934354075</v>
      </c>
      <c r="I84" s="35">
        <f t="shared" si="1"/>
        <v>1.9777052547481456E-2</v>
      </c>
      <c r="J84" s="35">
        <f t="shared" si="2"/>
        <v>0.05</v>
      </c>
      <c r="K84" s="35">
        <f t="shared" si="3"/>
        <v>0.05</v>
      </c>
      <c r="L84" s="39">
        <f t="shared" si="6"/>
        <v>89.868188944318945</v>
      </c>
      <c r="M84" s="35">
        <f t="shared" si="4"/>
        <v>86.151537239294072</v>
      </c>
      <c r="N84" s="6" t="e">
        <f ca="1"/>
        <v>#NAME?</v>
      </c>
      <c r="O84" s="6" t="e">
        <f ca="1"/>
        <v>#NAME?</v>
      </c>
      <c r="P84" t="e">
        <f t="shared" ca="1" si="7"/>
        <v>#NAME?</v>
      </c>
      <c r="Q84" t="e">
        <f t="shared" ca="1" si="8"/>
        <v>#NAME?</v>
      </c>
      <c r="R84" t="e">
        <f t="shared" ca="1" si="9"/>
        <v>#NAME?</v>
      </c>
      <c r="S84">
        <v>89.869715259815734</v>
      </c>
      <c r="T84">
        <v>87.572804548606314</v>
      </c>
      <c r="U84">
        <v>0</v>
      </c>
      <c r="V84" t="e">
        <f>0.33*#REF!+0.67*#REF!</f>
        <v>#REF!</v>
      </c>
      <c r="W84">
        <v>0</v>
      </c>
    </row>
    <row r="85" spans="2:23">
      <c r="B85">
        <v>104.5</v>
      </c>
      <c r="C85">
        <v>101.72</v>
      </c>
      <c r="D85" s="7">
        <f t="shared" si="10"/>
        <v>103.11</v>
      </c>
      <c r="E85" s="23">
        <v>21.8746126774072</v>
      </c>
      <c r="F85" s="25">
        <v>7.6223675601821199</v>
      </c>
      <c r="G85" s="11">
        <f t="shared" si="11"/>
        <v>70.788737809450282</v>
      </c>
      <c r="H85" s="11">
        <f t="shared" si="12"/>
        <v>1</v>
      </c>
      <c r="I85" s="35">
        <f t="shared" si="1"/>
        <v>0.5</v>
      </c>
      <c r="J85" s="35">
        <f t="shared" si="2"/>
        <v>0.5</v>
      </c>
      <c r="K85" s="35">
        <f t="shared" si="3"/>
        <v>0.5</v>
      </c>
      <c r="L85" s="39">
        <f t="shared" si="6"/>
        <v>96.489094472159479</v>
      </c>
      <c r="M85" s="35">
        <f t="shared" si="4"/>
        <v>88.735926547510431</v>
      </c>
      <c r="N85" s="6" t="e">
        <f ca="1"/>
        <v>#NAME?</v>
      </c>
      <c r="O85" s="6" t="e">
        <f ca="1"/>
        <v>#NAME?</v>
      </c>
      <c r="P85" t="e">
        <f t="shared" ca="1" si="7"/>
        <v>#NAME?</v>
      </c>
      <c r="Q85" t="e">
        <f t="shared" ca="1" si="8"/>
        <v>#NAME?</v>
      </c>
      <c r="R85" t="e">
        <f t="shared" ca="1" si="9"/>
        <v>#NAME?</v>
      </c>
      <c r="S85">
        <v>96.489857629907874</v>
      </c>
      <c r="T85">
        <v>89.802067818931704</v>
      </c>
      <c r="U85">
        <v>0</v>
      </c>
      <c r="V85" t="e">
        <f>0.33*#REF!+0.67*#REF!</f>
        <v>#REF!</v>
      </c>
      <c r="W85">
        <v>0</v>
      </c>
    </row>
    <row r="86" spans="2:23">
      <c r="B86">
        <v>105.5</v>
      </c>
      <c r="C86">
        <v>101.72</v>
      </c>
      <c r="D86" s="7">
        <f t="shared" si="10"/>
        <v>103.61</v>
      </c>
      <c r="E86" s="23">
        <v>9.6362760327750099</v>
      </c>
      <c r="F86" s="25">
        <v>15.3266683022322</v>
      </c>
      <c r="G86" s="11">
        <f t="shared" si="11"/>
        <v>32.158645985714635</v>
      </c>
      <c r="H86" s="11">
        <f t="shared" si="12"/>
        <v>38.630091823735647</v>
      </c>
      <c r="I86" s="35">
        <f t="shared" si="1"/>
        <v>1.294327754335761E-2</v>
      </c>
      <c r="J86" s="35">
        <f t="shared" si="2"/>
        <v>0.05</v>
      </c>
      <c r="K86" s="35">
        <f t="shared" si="3"/>
        <v>0.05</v>
      </c>
      <c r="L86" s="39">
        <f t="shared" si="6"/>
        <v>96.845139748551489</v>
      </c>
      <c r="M86" s="35">
        <f t="shared" si="4"/>
        <v>88.938656877536459</v>
      </c>
      <c r="N86" s="6" t="e">
        <f ca="1"/>
        <v>#NAME?</v>
      </c>
      <c r="O86" s="6" t="e">
        <f ca="1"/>
        <v>#NAME?</v>
      </c>
      <c r="P86" t="e">
        <f t="shared" ca="1" si="7"/>
        <v>#NAME?</v>
      </c>
      <c r="Q86" t="e">
        <f t="shared" ca="1" si="8"/>
        <v>#NAME?</v>
      </c>
      <c r="R86" t="e">
        <f t="shared" ca="1" si="9"/>
        <v>#NAME?</v>
      </c>
      <c r="S86">
        <v>96.845864748412467</v>
      </c>
      <c r="T86">
        <v>89.97816274216872</v>
      </c>
      <c r="U86">
        <v>0</v>
      </c>
      <c r="V86" t="e">
        <f>0.33*#REF!+0.67*#REF!</f>
        <v>#REF!</v>
      </c>
      <c r="W86">
        <v>0</v>
      </c>
    </row>
    <row r="87" spans="2:23">
      <c r="B87">
        <v>106.125</v>
      </c>
      <c r="C87">
        <v>103.155</v>
      </c>
      <c r="D87" s="7">
        <f t="shared" si="10"/>
        <v>104.64</v>
      </c>
      <c r="E87" s="23">
        <v>-1.7143116737389601</v>
      </c>
      <c r="F87" s="25">
        <v>14.916089611566701</v>
      </c>
      <c r="G87" s="11">
        <f t="shared" si="11"/>
        <v>-6.5562588448617731</v>
      </c>
      <c r="H87" s="11">
        <f t="shared" si="12"/>
        <v>38.714904830576408</v>
      </c>
      <c r="I87" s="35">
        <f t="shared" si="1"/>
        <v>1.2914922616705182E-2</v>
      </c>
      <c r="J87" s="35">
        <f t="shared" si="2"/>
        <v>0.05</v>
      </c>
      <c r="K87" s="35">
        <f t="shared" si="3"/>
        <v>0.05</v>
      </c>
      <c r="L87" s="39">
        <f t="shared" si="6"/>
        <v>97.234882761123913</v>
      </c>
      <c r="M87" s="35">
        <f t="shared" si="4"/>
        <v>89.146062524626146</v>
      </c>
      <c r="N87" s="6" t="e">
        <f ca="1"/>
        <v>#NAME?</v>
      </c>
      <c r="O87" s="6" t="e">
        <f ca="1"/>
        <v>#NAME?</v>
      </c>
      <c r="P87" t="e">
        <f t="shared" ca="1" si="7"/>
        <v>#NAME?</v>
      </c>
      <c r="Q87" t="e">
        <f t="shared" ca="1" si="8"/>
        <v>#NAME?</v>
      </c>
      <c r="R87" t="e">
        <f t="shared" ca="1" si="9"/>
        <v>#NAME?</v>
      </c>
      <c r="S87">
        <v>97.235571510991832</v>
      </c>
      <c r="T87">
        <v>90.159597961389295</v>
      </c>
      <c r="U87">
        <v>0</v>
      </c>
      <c r="V87" t="e">
        <f>0.33*#REF!+0.67*#REF!</f>
        <v>#REF!</v>
      </c>
      <c r="W87">
        <v>0</v>
      </c>
    </row>
    <row r="88" spans="2:23">
      <c r="B88">
        <v>107.94</v>
      </c>
      <c r="C88">
        <v>105.69</v>
      </c>
      <c r="D88" s="7">
        <f t="shared" si="10"/>
        <v>106.815</v>
      </c>
      <c r="E88" s="23">
        <v>-9.8966102728844003</v>
      </c>
      <c r="F88" s="25">
        <v>13.025700349370499</v>
      </c>
      <c r="G88" s="11">
        <f t="shared" si="11"/>
        <v>-37.22668598755503</v>
      </c>
      <c r="H88" s="11">
        <f t="shared" si="12"/>
        <v>30.670427142693256</v>
      </c>
      <c r="I88" s="35">
        <f t="shared" si="1"/>
        <v>1.630234876331408E-2</v>
      </c>
      <c r="J88" s="35">
        <f t="shared" si="2"/>
        <v>0.05</v>
      </c>
      <c r="K88" s="35">
        <f t="shared" si="3"/>
        <v>0.05</v>
      </c>
      <c r="L88" s="39">
        <f t="shared" si="6"/>
        <v>97.713888623067717</v>
      </c>
      <c r="M88" s="35">
        <f t="shared" si="4"/>
        <v>89.360258177087175</v>
      </c>
      <c r="N88" s="6" t="e">
        <f ca="1"/>
        <v>#NAME?</v>
      </c>
      <c r="O88" s="6" t="e">
        <f ca="1"/>
        <v>#NAME?</v>
      </c>
      <c r="P88" t="e">
        <f t="shared" ca="1" si="7"/>
        <v>#NAME?</v>
      </c>
      <c r="Q88" t="e">
        <f t="shared" ca="1" si="8"/>
        <v>#NAME?</v>
      </c>
      <c r="R88" t="e">
        <f t="shared" ca="1" si="9"/>
        <v>#NAME?</v>
      </c>
      <c r="S88">
        <v>97.714542935442239</v>
      </c>
      <c r="T88">
        <v>90.348471585740612</v>
      </c>
      <c r="U88">
        <v>0</v>
      </c>
      <c r="V88" t="e">
        <f>0.33*#REF!+0.67*#REF!</f>
        <v>#REF!</v>
      </c>
      <c r="W88">
        <v>0</v>
      </c>
    </row>
    <row r="89" spans="2:23">
      <c r="B89">
        <v>106.25</v>
      </c>
      <c r="C89">
        <v>103.655</v>
      </c>
      <c r="D89" s="7">
        <f t="shared" si="10"/>
        <v>104.9525</v>
      </c>
      <c r="E89" s="23">
        <v>-14.480324701452799</v>
      </c>
      <c r="F89" s="25">
        <v>7.2137253435161801</v>
      </c>
      <c r="G89" s="11">
        <f t="shared" si="11"/>
        <v>-63.518694726923563</v>
      </c>
      <c r="H89" s="11">
        <f t="shared" si="12"/>
        <v>26.292008739368534</v>
      </c>
      <c r="I89" s="35">
        <f t="shared" si="1"/>
        <v>1.9017185219907574E-2</v>
      </c>
      <c r="J89" s="35">
        <f t="shared" si="2"/>
        <v>0.05</v>
      </c>
      <c r="K89" s="35">
        <f t="shared" si="3"/>
        <v>0.05</v>
      </c>
      <c r="L89" s="39">
        <f t="shared" si="6"/>
        <v>98.07581919191432</v>
      </c>
      <c r="M89" s="35">
        <f t="shared" si="4"/>
        <v>89.578147202457842</v>
      </c>
      <c r="N89" s="6" t="e">
        <f ca="1"/>
        <v>#NAME?</v>
      </c>
      <c r="O89" s="6" t="e">
        <f ca="1"/>
        <v>#NAME?</v>
      </c>
      <c r="P89" t="e">
        <f t="shared" ca="1" si="7"/>
        <v>#NAME?</v>
      </c>
      <c r="Q89" t="e">
        <f t="shared" ca="1" si="8"/>
        <v>#NAME?</v>
      </c>
      <c r="R89" t="e">
        <f t="shared" ca="1" si="9"/>
        <v>#NAME?</v>
      </c>
      <c r="S89">
        <v>98.076440788670126</v>
      </c>
      <c r="T89">
        <v>90.541670815813859</v>
      </c>
      <c r="U89">
        <v>0</v>
      </c>
      <c r="V89" t="e">
        <f>0.33*#REF!+0.67*#REF!</f>
        <v>#REF!</v>
      </c>
      <c r="W89">
        <v>0</v>
      </c>
    </row>
    <row r="90" spans="2:23">
      <c r="B90">
        <v>107</v>
      </c>
      <c r="C90">
        <v>104</v>
      </c>
      <c r="D90" s="7">
        <f t="shared" si="10"/>
        <v>105.5</v>
      </c>
      <c r="E90" s="23">
        <v>-8.9220899392734605</v>
      </c>
      <c r="F90" s="25">
        <v>2.3886700970789301</v>
      </c>
      <c r="G90" s="11">
        <f t="shared" si="11"/>
        <v>-75.01196410010165</v>
      </c>
      <c r="H90" s="11">
        <f t="shared" si="12"/>
        <v>11.493269373178087</v>
      </c>
      <c r="I90" s="35">
        <f t="shared" si="1"/>
        <v>4.3503722375710867E-2</v>
      </c>
      <c r="J90" s="35">
        <f t="shared" si="2"/>
        <v>0.05</v>
      </c>
      <c r="K90" s="35">
        <f t="shared" si="3"/>
        <v>0.05</v>
      </c>
      <c r="L90" s="39">
        <f t="shared" si="6"/>
        <v>98.447028232318601</v>
      </c>
      <c r="M90" s="35">
        <f t="shared" si="4"/>
        <v>89.799869228204358</v>
      </c>
      <c r="N90" s="6" t="e">
        <f ca="1"/>
        <v>#NAME?</v>
      </c>
      <c r="O90" s="6" t="e">
        <f ca="1"/>
        <v>#NAME?</v>
      </c>
      <c r="P90" t="e">
        <f t="shared" ca="1" si="7"/>
        <v>#NAME?</v>
      </c>
      <c r="Q90" t="e">
        <f t="shared" ca="1" si="8"/>
        <v>#NAME?</v>
      </c>
      <c r="R90" t="e">
        <f t="shared" ca="1" si="9"/>
        <v>#NAME?</v>
      </c>
      <c r="S90">
        <v>98.447618749236625</v>
      </c>
      <c r="T90">
        <v>90.739319514149429</v>
      </c>
      <c r="U90">
        <v>0</v>
      </c>
      <c r="V90" t="e">
        <f>0.33*#REF!+0.67*#REF!</f>
        <v>#REF!</v>
      </c>
      <c r="W90">
        <v>0</v>
      </c>
    </row>
    <row r="91" spans="2:23">
      <c r="B91">
        <v>108.75</v>
      </c>
      <c r="C91">
        <v>105.53</v>
      </c>
      <c r="D91" s="7">
        <f t="shared" si="10"/>
        <v>107.14</v>
      </c>
      <c r="E91" s="23">
        <v>-3.8226480601627602</v>
      </c>
      <c r="F91" s="25">
        <v>0.93195572351793798</v>
      </c>
      <c r="G91" s="11">
        <f t="shared" si="11"/>
        <v>-76.298661994780247</v>
      </c>
      <c r="H91" s="11">
        <f t="shared" si="12"/>
        <v>1.2866978946785963</v>
      </c>
      <c r="I91" s="35">
        <f t="shared" si="1"/>
        <v>0.38859160496636608</v>
      </c>
      <c r="J91" s="35">
        <f t="shared" si="2"/>
        <v>0.38859160496636608</v>
      </c>
      <c r="K91" s="35">
        <f t="shared" si="3"/>
        <v>0.38859160496636608</v>
      </c>
      <c r="L91" s="39">
        <f t="shared" si="6"/>
        <v>101.82504408344923</v>
      </c>
      <c r="M91" s="35">
        <f t="shared" si="4"/>
        <v>92.136310226704751</v>
      </c>
      <c r="N91" s="6" t="e">
        <f ca="1"/>
        <v>#NAME?</v>
      </c>
      <c r="O91" s="6" t="e">
        <f ca="1"/>
        <v>#NAME?</v>
      </c>
      <c r="P91" t="e">
        <f t="shared" ca="1" si="7"/>
        <v>#NAME?</v>
      </c>
      <c r="Q91" t="e">
        <f t="shared" ca="1" si="8"/>
        <v>#NAME?</v>
      </c>
      <c r="R91" t="e">
        <f t="shared" ca="1" si="9"/>
        <v>#NAME?</v>
      </c>
      <c r="S91">
        <v>101.756407699395</v>
      </c>
      <c r="T91">
        <v>92.836168386664056</v>
      </c>
      <c r="U91">
        <v>0</v>
      </c>
      <c r="V91" t="e">
        <f>0.33*#REF!+0.67*#REF!</f>
        <v>#REF!</v>
      </c>
      <c r="W91">
        <v>0</v>
      </c>
    </row>
    <row r="92" spans="2:23">
      <c r="B92">
        <v>110.94</v>
      </c>
      <c r="C92">
        <v>108.53</v>
      </c>
      <c r="D92" s="7">
        <f t="shared" si="10"/>
        <v>109.735</v>
      </c>
      <c r="E92" s="23">
        <v>-0.10426594311667201</v>
      </c>
      <c r="F92" s="25">
        <v>0.518932727713599</v>
      </c>
      <c r="G92" s="11">
        <f t="shared" si="11"/>
        <v>-11.360818296793932</v>
      </c>
      <c r="H92" s="11">
        <f t="shared" si="12"/>
        <v>1</v>
      </c>
      <c r="I92" s="35">
        <f t="shared" si="1"/>
        <v>0.5</v>
      </c>
      <c r="J92" s="35">
        <f t="shared" si="2"/>
        <v>0.5</v>
      </c>
      <c r="K92" s="35">
        <f t="shared" si="3"/>
        <v>0.5</v>
      </c>
      <c r="L92" s="39">
        <f t="shared" si="6"/>
        <v>105.78002204172461</v>
      </c>
      <c r="M92" s="35">
        <f t="shared" si="4"/>
        <v>95.547238180459715</v>
      </c>
      <c r="N92" s="6" t="e">
        <f ca="1"/>
        <v>#NAME?</v>
      </c>
      <c r="O92" s="6" t="e">
        <f ca="1"/>
        <v>#NAME?</v>
      </c>
      <c r="P92" t="e">
        <f t="shared" ca="1" si="7"/>
        <v>#NAME?</v>
      </c>
      <c r="Q92" t="e">
        <f t="shared" ca="1" si="8"/>
        <v>#NAME?</v>
      </c>
      <c r="R92" t="e">
        <f t="shared" ca="1" si="9"/>
        <v>#NAME?</v>
      </c>
      <c r="S92">
        <v>105.74570384969749</v>
      </c>
      <c r="T92">
        <v>96.063552252422426</v>
      </c>
      <c r="U92">
        <v>0</v>
      </c>
      <c r="V92" t="e">
        <f>0.33*#REF!+0.67*#REF!</f>
        <v>#REF!</v>
      </c>
      <c r="W92">
        <v>0</v>
      </c>
    </row>
    <row r="93" spans="2:23">
      <c r="B93">
        <v>110.94</v>
      </c>
      <c r="C93">
        <v>108.75</v>
      </c>
      <c r="D93" s="7">
        <f t="shared" si="10"/>
        <v>109.845</v>
      </c>
      <c r="E93" s="23">
        <v>1.26112241662319</v>
      </c>
      <c r="F93" s="25">
        <v>1.8586734034293699</v>
      </c>
      <c r="G93" s="11">
        <f t="shared" si="11"/>
        <v>34.157156331722142</v>
      </c>
      <c r="H93" s="11">
        <f t="shared" si="12"/>
        <v>1</v>
      </c>
      <c r="I93" s="35">
        <f t="shared" si="1"/>
        <v>0.5</v>
      </c>
      <c r="J93" s="35">
        <f t="shared" si="2"/>
        <v>0.5</v>
      </c>
      <c r="K93" s="35">
        <f t="shared" si="3"/>
        <v>0.5</v>
      </c>
      <c r="L93" s="39">
        <f t="shared" si="6"/>
        <v>107.8125110208623</v>
      </c>
      <c r="M93" s="35">
        <f t="shared" si="4"/>
        <v>98.613556390560362</v>
      </c>
      <c r="N93" s="6" t="e">
        <f ca="1"/>
        <v>#NAME?</v>
      </c>
      <c r="O93" s="6" t="e">
        <f ca="1"/>
        <v>#NAME?</v>
      </c>
      <c r="P93" t="e">
        <f t="shared" ca="1" si="7"/>
        <v>#NAME?</v>
      </c>
      <c r="Q93" t="e">
        <f t="shared" ca="1" si="8"/>
        <v>#NAME?</v>
      </c>
      <c r="R93" t="e">
        <f t="shared" ca="1" si="9"/>
        <v>#NAME?</v>
      </c>
      <c r="S93">
        <v>107.79535192484875</v>
      </c>
      <c r="T93">
        <v>98.996502170528998</v>
      </c>
      <c r="U93">
        <v>0</v>
      </c>
      <c r="V93" t="e">
        <f>0.33*#REF!+0.67*#REF!</f>
        <v>#REF!</v>
      </c>
      <c r="W93">
        <v>0</v>
      </c>
    </row>
    <row r="94" spans="2:23">
      <c r="B94">
        <v>114.22</v>
      </c>
      <c r="C94">
        <v>107.75</v>
      </c>
      <c r="D94" s="7">
        <f t="shared" si="10"/>
        <v>110.985</v>
      </c>
      <c r="E94" s="23">
        <v>-0.47937374094179602</v>
      </c>
      <c r="F94" s="25">
        <v>1.84100225343154</v>
      </c>
      <c r="G94" s="11">
        <f t="shared" si="11"/>
        <v>-14.595003719974528</v>
      </c>
      <c r="H94" s="11">
        <f t="shared" si="12"/>
        <v>48.75216005169667</v>
      </c>
      <c r="I94" s="35">
        <f t="shared" si="1"/>
        <v>1.0255955827799245E-2</v>
      </c>
      <c r="J94" s="35">
        <f t="shared" si="2"/>
        <v>0.05</v>
      </c>
      <c r="K94" s="35">
        <f t="shared" si="3"/>
        <v>0.05</v>
      </c>
      <c r="L94" s="39">
        <f t="shared" si="6"/>
        <v>107.97113546981919</v>
      </c>
      <c r="M94" s="35">
        <f t="shared" si="4"/>
        <v>98.847495867541824</v>
      </c>
      <c r="N94" s="6" t="e">
        <f ca="1"/>
        <v>#NAME?</v>
      </c>
      <c r="O94" s="6" t="e">
        <f ca="1"/>
        <v>#NAME?</v>
      </c>
      <c r="P94" t="e">
        <f t="shared" ca="1" si="7"/>
        <v>#NAME?</v>
      </c>
      <c r="Q94" t="e">
        <f t="shared" ca="1" si="8"/>
        <v>#NAME?</v>
      </c>
      <c r="R94" t="e">
        <f t="shared" ca="1" si="9"/>
        <v>#NAME?</v>
      </c>
      <c r="S94">
        <v>107.95483432860631</v>
      </c>
      <c r="T94">
        <v>99.22046047448093</v>
      </c>
      <c r="U94">
        <v>0</v>
      </c>
      <c r="V94" t="e">
        <f>0.33*#REF!+0.67*#REF!</f>
        <v>#REF!</v>
      </c>
      <c r="W94">
        <v>0</v>
      </c>
    </row>
    <row r="95" spans="2:23">
      <c r="B95">
        <v>123</v>
      </c>
      <c r="C95">
        <v>117</v>
      </c>
      <c r="D95" s="7">
        <f t="shared" si="10"/>
        <v>120</v>
      </c>
      <c r="E95" s="23">
        <v>0.60895118328520903</v>
      </c>
      <c r="F95" s="25">
        <v>1.04426384600614</v>
      </c>
      <c r="G95" s="11">
        <f t="shared" si="11"/>
        <v>30.24813740200425</v>
      </c>
      <c r="H95" s="11">
        <f t="shared" si="12"/>
        <v>1</v>
      </c>
      <c r="I95" s="35">
        <f t="shared" ref="I95:I158" si="13">$B$1/H95</f>
        <v>0.5</v>
      </c>
      <c r="J95" s="35">
        <f t="shared" ref="J95:J158" si="14">IF(I95 &lt; $C$1, $C$1, I95 )</f>
        <v>0.5</v>
      </c>
      <c r="K95" s="35">
        <f t="shared" ref="K95:K158" si="15">IF(J95 &gt; $B$1, $B$1, J95 )</f>
        <v>0.5</v>
      </c>
      <c r="L95" s="39">
        <f t="shared" ref="L95:L158" si="16">K95*D95 + (1-K95)*L94</f>
        <v>113.98556773490959</v>
      </c>
      <c r="M95" s="35">
        <f t="shared" ref="M95:M158" si="17">0.5*K95*L95+(1-0.5*K95)*M94</f>
        <v>102.63201383438376</v>
      </c>
      <c r="N95" s="6" t="e">
        <f ca="1"/>
        <v>#NAME?</v>
      </c>
      <c r="O95" s="6" t="e">
        <f ca="1"/>
        <v>#NAME?</v>
      </c>
      <c r="P95" t="e">
        <f t="shared" ca="1" si="7"/>
        <v>#NAME?</v>
      </c>
      <c r="Q95" t="e">
        <f t="shared" ca="1" si="8"/>
        <v>#NAME?</v>
      </c>
      <c r="R95" t="e">
        <f t="shared" ca="1" si="9"/>
        <v>#NAME?</v>
      </c>
      <c r="S95">
        <v>113.97741716430315</v>
      </c>
      <c r="T95">
        <v>102.90969964693647</v>
      </c>
      <c r="U95">
        <v>0</v>
      </c>
      <c r="V95" t="e">
        <f>0.33*#REF!+0.67*#REF!</f>
        <v>#REF!</v>
      </c>
      <c r="W95">
        <v>0</v>
      </c>
    </row>
    <row r="96" spans="2:23">
      <c r="B96">
        <v>121.75</v>
      </c>
      <c r="C96">
        <v>118</v>
      </c>
      <c r="D96" s="7">
        <f t="shared" si="10"/>
        <v>119.875</v>
      </c>
      <c r="E96" s="23">
        <v>2.7663995094540299</v>
      </c>
      <c r="F96" s="25">
        <v>1.74837302503257</v>
      </c>
      <c r="G96" s="11">
        <f t="shared" si="11"/>
        <v>57.706987183599509</v>
      </c>
      <c r="H96" s="11">
        <f t="shared" si="12"/>
        <v>1</v>
      </c>
      <c r="I96" s="35">
        <f t="shared" si="13"/>
        <v>0.5</v>
      </c>
      <c r="J96" s="35">
        <f t="shared" si="14"/>
        <v>0.5</v>
      </c>
      <c r="K96" s="35">
        <f t="shared" si="15"/>
        <v>0.5</v>
      </c>
      <c r="L96" s="39">
        <f t="shared" si="16"/>
        <v>116.93028386745479</v>
      </c>
      <c r="M96" s="35">
        <f t="shared" si="17"/>
        <v>106.2065813426515</v>
      </c>
      <c r="N96" s="6" t="e">
        <f ca="1"/>
        <v>#NAME?</v>
      </c>
      <c r="O96" s="6" t="e">
        <f ca="1"/>
        <v>#NAME?</v>
      </c>
      <c r="P96" t="e">
        <f t="shared" ca="1" si="7"/>
        <v>#NAME?</v>
      </c>
      <c r="Q96" t="e">
        <f t="shared" ca="1" si="8"/>
        <v>#NAME?</v>
      </c>
      <c r="R96" t="e">
        <f t="shared" ca="1" si="9"/>
        <v>#NAME?</v>
      </c>
      <c r="S96">
        <v>116.92620858215157</v>
      </c>
      <c r="T96">
        <v>106.41382688074025</v>
      </c>
      <c r="U96">
        <v>0</v>
      </c>
      <c r="V96" t="e">
        <f>0.33*#REF!+0.67*#REF!</f>
        <v>#REF!</v>
      </c>
      <c r="W96">
        <v>0</v>
      </c>
    </row>
    <row r="97" spans="2:23">
      <c r="B97">
        <v>119.815</v>
      </c>
      <c r="C97">
        <v>116</v>
      </c>
      <c r="D97" s="7">
        <f t="shared" si="10"/>
        <v>117.9075</v>
      </c>
      <c r="E97" s="23">
        <v>4.1973931660392099</v>
      </c>
      <c r="F97" s="25">
        <v>3.1012888923576498</v>
      </c>
      <c r="G97" s="11">
        <f t="shared" si="11"/>
        <v>53.540761069923846</v>
      </c>
      <c r="H97" s="11">
        <f t="shared" si="12"/>
        <v>4.1662261136756626</v>
      </c>
      <c r="I97" s="35">
        <f t="shared" si="13"/>
        <v>0.1200126892678117</v>
      </c>
      <c r="J97" s="35">
        <f t="shared" si="14"/>
        <v>0.1200126892678117</v>
      </c>
      <c r="K97" s="35">
        <f t="shared" si="15"/>
        <v>0.1200126892678117</v>
      </c>
      <c r="L97" s="39">
        <f t="shared" si="16"/>
        <v>117.04756220351743</v>
      </c>
      <c r="M97" s="35">
        <f t="shared" si="17"/>
        <v>106.85710897635821</v>
      </c>
      <c r="N97" s="6" t="e">
        <f ca="1"/>
        <v>#NAME?</v>
      </c>
      <c r="O97" s="6" t="e">
        <f ca="1"/>
        <v>#NAME?</v>
      </c>
      <c r="P97" t="e">
        <f t="shared" ca="1" si="7"/>
        <v>#NAME?</v>
      </c>
      <c r="Q97" t="e">
        <f t="shared" ca="1" si="8"/>
        <v>#NAME?</v>
      </c>
      <c r="R97" t="e">
        <f t="shared" ca="1" si="9"/>
        <v>#NAME?</v>
      </c>
      <c r="S97">
        <v>117.04401293859594</v>
      </c>
      <c r="T97">
        <v>107.05190554149902</v>
      </c>
      <c r="U97">
        <v>0</v>
      </c>
      <c r="V97" t="e">
        <f>0.33*#REF!+0.67*#REF!</f>
        <v>#REF!</v>
      </c>
      <c r="W97">
        <v>0</v>
      </c>
    </row>
    <row r="98" spans="2:23">
      <c r="B98">
        <v>120.315</v>
      </c>
      <c r="C98">
        <v>118.5</v>
      </c>
      <c r="D98" s="7">
        <f t="shared" si="10"/>
        <v>119.4075</v>
      </c>
      <c r="E98" s="23">
        <v>3.5455169386355601</v>
      </c>
      <c r="F98" s="25">
        <v>4.46542827751676</v>
      </c>
      <c r="G98" s="11">
        <f t="shared" si="11"/>
        <v>38.449314578476688</v>
      </c>
      <c r="H98" s="11">
        <f t="shared" si="12"/>
        <v>15.091446491447158</v>
      </c>
      <c r="I98" s="35">
        <f t="shared" si="13"/>
        <v>3.313135028397491E-2</v>
      </c>
      <c r="J98" s="35">
        <f t="shared" si="14"/>
        <v>0.05</v>
      </c>
      <c r="K98" s="35">
        <f t="shared" si="15"/>
        <v>0.05</v>
      </c>
      <c r="L98" s="39">
        <f t="shared" si="16"/>
        <v>117.16555909334156</v>
      </c>
      <c r="M98" s="35">
        <f t="shared" si="17"/>
        <v>107.11482022928278</v>
      </c>
      <c r="N98" s="6" t="e">
        <f ca="1"/>
        <v>#NAME?</v>
      </c>
      <c r="O98" s="6" t="e">
        <f ca="1"/>
        <v>#NAME?</v>
      </c>
      <c r="P98" t="e">
        <f t="shared" ca="1" si="7"/>
        <v>#NAME?</v>
      </c>
      <c r="Q98" t="e">
        <f t="shared" ca="1" si="8"/>
        <v>#NAME?</v>
      </c>
      <c r="R98" t="e">
        <f t="shared" ca="1" si="9"/>
        <v>#NAME?</v>
      </c>
      <c r="S98">
        <v>117.16218729166614</v>
      </c>
      <c r="T98">
        <v>107.3046625852532</v>
      </c>
      <c r="U98">
        <v>0</v>
      </c>
      <c r="V98" t="e">
        <f>0.33*#REF!+0.67*#REF!</f>
        <v>#REF!</v>
      </c>
      <c r="W98">
        <v>0</v>
      </c>
    </row>
    <row r="99" spans="2:23">
      <c r="B99">
        <v>119.375</v>
      </c>
      <c r="C99">
        <v>116.53</v>
      </c>
      <c r="D99" s="7">
        <f t="shared" si="10"/>
        <v>117.9525</v>
      </c>
      <c r="E99" s="23">
        <v>5.2257812322964998</v>
      </c>
      <c r="F99" s="25">
        <v>4.71246603432414</v>
      </c>
      <c r="G99" s="11">
        <f t="shared" si="11"/>
        <v>47.956726839068182</v>
      </c>
      <c r="H99" s="11">
        <f t="shared" si="12"/>
        <v>1</v>
      </c>
      <c r="I99" s="35">
        <f t="shared" si="13"/>
        <v>0.5</v>
      </c>
      <c r="J99" s="35">
        <f t="shared" si="14"/>
        <v>0.5</v>
      </c>
      <c r="K99" s="35">
        <f t="shared" si="15"/>
        <v>0.5</v>
      </c>
      <c r="L99" s="39">
        <f t="shared" si="16"/>
        <v>117.55902954667079</v>
      </c>
      <c r="M99" s="35">
        <f t="shared" si="17"/>
        <v>109.72587255862979</v>
      </c>
      <c r="N99" s="6" t="e">
        <f ca="1"/>
        <v>#NAME?</v>
      </c>
      <c r="O99" s="6" t="e">
        <f ca="1"/>
        <v>#NAME?</v>
      </c>
      <c r="P99" t="e">
        <f t="shared" ca="1" si="7"/>
        <v>#NAME?</v>
      </c>
      <c r="Q99" t="e">
        <f t="shared" ca="1" si="8"/>
        <v>#NAME?</v>
      </c>
      <c r="R99" t="e">
        <f t="shared" ca="1" si="9"/>
        <v>#NAME?</v>
      </c>
      <c r="S99">
        <v>117.55734364583307</v>
      </c>
      <c r="T99">
        <v>109.86783285039817</v>
      </c>
      <c r="U99">
        <v>0</v>
      </c>
      <c r="V99" t="e">
        <f>0.33*#REF!+0.67*#REF!</f>
        <v>#REF!</v>
      </c>
      <c r="W99">
        <v>0</v>
      </c>
    </row>
    <row r="100" spans="2:23">
      <c r="B100">
        <v>118.19</v>
      </c>
      <c r="C100">
        <v>116.25</v>
      </c>
      <c r="D100" s="7">
        <f t="shared" si="10"/>
        <v>117.22</v>
      </c>
      <c r="E100" s="23">
        <v>6.6194928965014403</v>
      </c>
      <c r="F100" s="25">
        <v>8.2249690401874993</v>
      </c>
      <c r="G100" s="11">
        <f t="shared" si="11"/>
        <v>38.827270872053653</v>
      </c>
      <c r="H100" s="11">
        <f t="shared" si="12"/>
        <v>9.129455967014529</v>
      </c>
      <c r="I100" s="35">
        <f t="shared" si="13"/>
        <v>5.4767776065358209E-2</v>
      </c>
      <c r="J100" s="35">
        <f t="shared" si="14"/>
        <v>5.4767776065358209E-2</v>
      </c>
      <c r="K100" s="35">
        <f t="shared" si="15"/>
        <v>5.4767776065358209E-2</v>
      </c>
      <c r="L100" s="39">
        <f t="shared" si="16"/>
        <v>117.54046165237918</v>
      </c>
      <c r="M100" s="35">
        <f t="shared" si="17"/>
        <v>109.93986639139442</v>
      </c>
      <c r="N100" s="6" t="e">
        <f ca="1"/>
        <v>#NAME?</v>
      </c>
      <c r="O100" s="6" t="e">
        <f ca="1"/>
        <v>#NAME?</v>
      </c>
      <c r="P100" t="e">
        <f t="shared" ca="1" si="7"/>
        <v>#NAME?</v>
      </c>
      <c r="Q100" t="e">
        <f t="shared" ca="1" si="8"/>
        <v>#NAME?</v>
      </c>
      <c r="R100" t="e">
        <f t="shared" ca="1" si="9"/>
        <v>#NAME?</v>
      </c>
      <c r="S100">
        <v>117.53885162865618</v>
      </c>
      <c r="T100">
        <v>110.07808226929794</v>
      </c>
      <c r="U100">
        <v>0</v>
      </c>
      <c r="V100" t="e">
        <f>0.33*#REF!+0.67*#REF!</f>
        <v>#REF!</v>
      </c>
      <c r="W100">
        <v>0</v>
      </c>
    </row>
    <row r="101" spans="2:23">
      <c r="B101">
        <v>116.69</v>
      </c>
      <c r="C101">
        <v>114.595</v>
      </c>
      <c r="D101" s="7">
        <f t="shared" si="10"/>
        <v>115.6425</v>
      </c>
      <c r="E101" s="23">
        <v>-2.85189858372881</v>
      </c>
      <c r="F101" s="25">
        <v>10.2071398863488</v>
      </c>
      <c r="G101" s="11">
        <f t="shared" si="11"/>
        <v>-15.610486677171069</v>
      </c>
      <c r="H101" s="11">
        <f t="shared" si="12"/>
        <v>54.43775754922472</v>
      </c>
      <c r="I101" s="35">
        <f t="shared" si="13"/>
        <v>9.1848015515312281E-3</v>
      </c>
      <c r="J101" s="35">
        <f t="shared" si="14"/>
        <v>0.05</v>
      </c>
      <c r="K101" s="35">
        <f t="shared" si="15"/>
        <v>0.05</v>
      </c>
      <c r="L101" s="39">
        <f t="shared" si="16"/>
        <v>117.44556356976022</v>
      </c>
      <c r="M101" s="35">
        <f t="shared" si="17"/>
        <v>110.12750882085356</v>
      </c>
      <c r="N101" s="6" t="e">
        <f ca="1"/>
        <v>#NAME?</v>
      </c>
      <c r="O101" s="6" t="e">
        <f ca="1"/>
        <v>#NAME?</v>
      </c>
      <c r="P101" t="e">
        <f t="shared" ca="1" si="7"/>
        <v>#NAME?</v>
      </c>
      <c r="Q101" t="e">
        <f t="shared" ca="1" si="8"/>
        <v>#NAME?</v>
      </c>
      <c r="R101" t="e">
        <f t="shared" ca="1" si="9"/>
        <v>#NAME?</v>
      </c>
      <c r="S101">
        <v>117.44403404722337</v>
      </c>
      <c r="T101">
        <v>110.26223106374607</v>
      </c>
      <c r="U101">
        <v>0</v>
      </c>
      <c r="V101" t="e">
        <f>0.33*#REF!+0.67*#REF!</f>
        <v>#REF!</v>
      </c>
      <c r="W101">
        <v>0</v>
      </c>
    </row>
    <row r="102" spans="2:23">
      <c r="B102">
        <v>115.345</v>
      </c>
      <c r="C102">
        <v>110.875</v>
      </c>
      <c r="D102" s="7">
        <f t="shared" si="10"/>
        <v>113.11</v>
      </c>
      <c r="E102" s="23">
        <v>-9.0961189927242394</v>
      </c>
      <c r="F102" s="25">
        <v>6.4514132494625098</v>
      </c>
      <c r="G102" s="11">
        <f t="shared" si="11"/>
        <v>-54.653866400575431</v>
      </c>
      <c r="H102" s="11">
        <f t="shared" si="12"/>
        <v>39.043379723404364</v>
      </c>
      <c r="I102" s="35">
        <f t="shared" si="13"/>
        <v>1.2806268400485767E-2</v>
      </c>
      <c r="J102" s="35">
        <f t="shared" si="14"/>
        <v>0.05</v>
      </c>
      <c r="K102" s="35">
        <f t="shared" si="15"/>
        <v>0.05</v>
      </c>
      <c r="L102" s="39">
        <f t="shared" si="16"/>
        <v>117.22878539127221</v>
      </c>
      <c r="M102" s="35">
        <f t="shared" si="17"/>
        <v>110.30504073511403</v>
      </c>
      <c r="N102" s="6" t="e">
        <f ca="1"/>
        <v>#NAME?</v>
      </c>
      <c r="O102" s="6" t="e">
        <f ca="1"/>
        <v>#NAME?</v>
      </c>
      <c r="P102" t="e">
        <f t="shared" ref="P102:P165" ca="1" si="18">IF(ROUND(L102,7)&lt;&gt;ROUND(N102,7),1,0)</f>
        <v>#NAME?</v>
      </c>
      <c r="Q102" t="e">
        <f t="shared" ref="Q102:Q165" ca="1" si="19">IF(ROUND(M102,7)&lt;&gt;ROUND(O102,7),1,0)</f>
        <v>#NAME?</v>
      </c>
      <c r="R102" t="e">
        <f t="shared" ref="R102:R165" ca="1" si="20">SUM(P102:Q102)</f>
        <v>#NAME?</v>
      </c>
      <c r="S102">
        <v>117.22733234486221</v>
      </c>
      <c r="T102">
        <v>110.43635859577397</v>
      </c>
      <c r="U102">
        <v>0</v>
      </c>
      <c r="V102" t="e">
        <f>0.33*#REF!+0.67*#REF!</f>
        <v>#REF!</v>
      </c>
      <c r="W102">
        <v>0</v>
      </c>
    </row>
    <row r="103" spans="2:23">
      <c r="B103">
        <v>113</v>
      </c>
      <c r="C103">
        <v>110.5</v>
      </c>
      <c r="D103" s="7">
        <f t="shared" si="10"/>
        <v>111.75</v>
      </c>
      <c r="E103" s="23">
        <v>-9.1111897814412597</v>
      </c>
      <c r="F103" s="25">
        <v>3.8858588956854199</v>
      </c>
      <c r="G103" s="11">
        <f t="shared" si="11"/>
        <v>-66.902090363473619</v>
      </c>
      <c r="H103" s="11">
        <f t="shared" si="12"/>
        <v>12.248223962898187</v>
      </c>
      <c r="I103" s="35">
        <f t="shared" si="13"/>
        <v>4.0822245046676094E-2</v>
      </c>
      <c r="J103" s="35">
        <f t="shared" si="14"/>
        <v>0.05</v>
      </c>
      <c r="K103" s="35">
        <f t="shared" si="15"/>
        <v>0.05</v>
      </c>
      <c r="L103" s="39">
        <f t="shared" si="16"/>
        <v>116.9548461217086</v>
      </c>
      <c r="M103" s="35">
        <f t="shared" si="17"/>
        <v>110.4712858697789</v>
      </c>
      <c r="N103" s="6" t="e">
        <f ca="1"/>
        <v>#NAME?</v>
      </c>
      <c r="O103" s="6" t="e">
        <f ca="1"/>
        <v>#NAME?</v>
      </c>
      <c r="P103" t="e">
        <f t="shared" ca="1" si="18"/>
        <v>#NAME?</v>
      </c>
      <c r="Q103" t="e">
        <f t="shared" ca="1" si="19"/>
        <v>#NAME?</v>
      </c>
      <c r="R103" t="e">
        <f t="shared" ca="1" si="20"/>
        <v>#NAME?</v>
      </c>
      <c r="S103">
        <v>116.95346572761909</v>
      </c>
      <c r="T103">
        <v>110.5992862740701</v>
      </c>
      <c r="U103">
        <v>0</v>
      </c>
      <c r="V103" t="e">
        <f>0.33*#REF!+0.67*#REF!</f>
        <v>#REF!</v>
      </c>
      <c r="W103">
        <v>0</v>
      </c>
    </row>
    <row r="104" spans="2:23">
      <c r="B104">
        <v>118.315</v>
      </c>
      <c r="C104">
        <v>110.72</v>
      </c>
      <c r="D104" s="7">
        <f t="shared" si="10"/>
        <v>114.5175</v>
      </c>
      <c r="E104" s="23">
        <v>-10.209969478514701</v>
      </c>
      <c r="F104" s="25">
        <v>0.96962916267980603</v>
      </c>
      <c r="G104" s="11">
        <f t="shared" si="11"/>
        <v>-84.574955735159662</v>
      </c>
      <c r="H104" s="11">
        <f t="shared" si="12"/>
        <v>17.672865371686044</v>
      </c>
      <c r="I104" s="35">
        <f t="shared" si="13"/>
        <v>2.8291959989751144E-2</v>
      </c>
      <c r="J104" s="35">
        <f t="shared" si="14"/>
        <v>0.05</v>
      </c>
      <c r="K104" s="35">
        <f t="shared" si="15"/>
        <v>0.05</v>
      </c>
      <c r="L104" s="39">
        <f t="shared" si="16"/>
        <v>116.83297881562316</v>
      </c>
      <c r="M104" s="35">
        <f t="shared" si="17"/>
        <v>110.630328193425</v>
      </c>
      <c r="N104" s="6" t="e">
        <f ca="1"/>
        <v>#NAME?</v>
      </c>
      <c r="O104" s="6" t="e">
        <f ca="1"/>
        <v>#NAME?</v>
      </c>
      <c r="P104" t="e">
        <f t="shared" ca="1" si="18"/>
        <v>#NAME?</v>
      </c>
      <c r="Q104" t="e">
        <f t="shared" ca="1" si="19"/>
        <v>#NAME?</v>
      </c>
      <c r="R104" t="e">
        <f t="shared" ca="1" si="20"/>
        <v>#NAME?</v>
      </c>
      <c r="S104">
        <v>116.83166744123814</v>
      </c>
      <c r="T104">
        <v>110.75509580324929</v>
      </c>
      <c r="U104">
        <v>0</v>
      </c>
      <c r="V104" t="e">
        <f>0.33*#REF!+0.67*#REF!</f>
        <v>#REF!</v>
      </c>
      <c r="W104">
        <v>0</v>
      </c>
    </row>
    <row r="105" spans="2:23">
      <c r="B105">
        <v>116.87</v>
      </c>
      <c r="C105">
        <v>112.62</v>
      </c>
      <c r="D105" s="7">
        <f t="shared" si="10"/>
        <v>114.745</v>
      </c>
      <c r="E105" s="23">
        <v>-7.3098230309593903</v>
      </c>
      <c r="F105" s="25">
        <v>-1.8289427479249001</v>
      </c>
      <c r="G105" s="11">
        <f t="shared" si="11"/>
        <v>75.95278735264101</v>
      </c>
      <c r="H105" s="11">
        <f t="shared" si="12"/>
        <v>1</v>
      </c>
      <c r="I105" s="35">
        <f t="shared" si="13"/>
        <v>0.5</v>
      </c>
      <c r="J105" s="35">
        <f t="shared" si="14"/>
        <v>0.5</v>
      </c>
      <c r="K105" s="35">
        <f t="shared" si="15"/>
        <v>0.5</v>
      </c>
      <c r="L105" s="39">
        <f t="shared" si="16"/>
        <v>115.78898940781158</v>
      </c>
      <c r="M105" s="35">
        <f t="shared" si="17"/>
        <v>111.91999349702165</v>
      </c>
      <c r="N105" s="6" t="e">
        <f ca="1"/>
        <v>#NAME?</v>
      </c>
      <c r="O105" s="6" t="e">
        <f ca="1"/>
        <v>#NAME?</v>
      </c>
      <c r="P105" t="e">
        <f t="shared" ca="1" si="18"/>
        <v>#NAME?</v>
      </c>
      <c r="Q105" t="e">
        <f t="shared" ca="1" si="19"/>
        <v>#NAME?</v>
      </c>
      <c r="R105" t="e">
        <f t="shared" ca="1" si="20"/>
        <v>#NAME?</v>
      </c>
      <c r="S105">
        <v>115.78833372061908</v>
      </c>
      <c r="T105">
        <v>112.01340528259175</v>
      </c>
      <c r="U105">
        <v>0</v>
      </c>
      <c r="V105" t="e">
        <f>0.33*#REF!+0.67*#REF!</f>
        <v>#REF!</v>
      </c>
      <c r="W105">
        <v>0</v>
      </c>
    </row>
    <row r="106" spans="2:23">
      <c r="B106">
        <v>116.75</v>
      </c>
      <c r="C106">
        <v>114.19</v>
      </c>
      <c r="D106" s="7">
        <f t="shared" si="10"/>
        <v>115.47</v>
      </c>
      <c r="E106" s="23">
        <v>-4.8105175370064499</v>
      </c>
      <c r="F106" s="25">
        <v>-2.9851608447343301</v>
      </c>
      <c r="G106" s="11">
        <f t="shared" si="11"/>
        <v>58.178380070221827</v>
      </c>
      <c r="H106" s="11">
        <f t="shared" si="12"/>
        <v>17.774407282419183</v>
      </c>
      <c r="I106" s="35">
        <f t="shared" si="13"/>
        <v>2.8130333240116212E-2</v>
      </c>
      <c r="J106" s="35">
        <f t="shared" si="14"/>
        <v>0.05</v>
      </c>
      <c r="K106" s="35">
        <f t="shared" si="15"/>
        <v>0.05</v>
      </c>
      <c r="L106" s="39">
        <f t="shared" si="16"/>
        <v>115.773039937421</v>
      </c>
      <c r="M106" s="35">
        <f t="shared" si="17"/>
        <v>112.01631965803162</v>
      </c>
      <c r="N106" s="6" t="e">
        <f ca="1"/>
        <v>#NAME?</v>
      </c>
      <c r="O106" s="6" t="e">
        <f ca="1"/>
        <v>#NAME?</v>
      </c>
      <c r="P106" t="e">
        <f t="shared" ca="1" si="18"/>
        <v>#NAME?</v>
      </c>
      <c r="Q106" t="e">
        <f t="shared" ca="1" si="19"/>
        <v>#NAME?</v>
      </c>
      <c r="R106" t="e">
        <f t="shared" ca="1" si="20"/>
        <v>#NAME?</v>
      </c>
      <c r="S106">
        <v>115.77241703458812</v>
      </c>
      <c r="T106">
        <v>112.10738057639165</v>
      </c>
      <c r="U106">
        <v>0</v>
      </c>
      <c r="V106" t="e">
        <f>0.33*#REF!+0.67*#REF!</f>
        <v>#REF!</v>
      </c>
      <c r="W106">
        <v>0</v>
      </c>
    </row>
    <row r="107" spans="2:23">
      <c r="B107">
        <v>113.87</v>
      </c>
      <c r="C107">
        <v>111.19</v>
      </c>
      <c r="D107" s="7">
        <f t="shared" si="10"/>
        <v>112.53</v>
      </c>
      <c r="E107" s="23">
        <v>-3.05161971899367</v>
      </c>
      <c r="F107" s="25">
        <v>-4.6174363823458604</v>
      </c>
      <c r="G107" s="11">
        <f t="shared" si="11"/>
        <v>33.460336058644707</v>
      </c>
      <c r="H107" s="11">
        <f t="shared" si="12"/>
        <v>24.718044011577121</v>
      </c>
      <c r="I107" s="35">
        <f t="shared" si="13"/>
        <v>2.0228137783305847E-2</v>
      </c>
      <c r="J107" s="35">
        <f t="shared" si="14"/>
        <v>0.05</v>
      </c>
      <c r="K107" s="35">
        <f t="shared" si="15"/>
        <v>0.05</v>
      </c>
      <c r="L107" s="39">
        <f t="shared" si="16"/>
        <v>115.61088794054996</v>
      </c>
      <c r="M107" s="35">
        <f t="shared" si="17"/>
        <v>112.10618386509458</v>
      </c>
      <c r="N107" s="6" t="e">
        <f ca="1"/>
        <v>#NAME?</v>
      </c>
      <c r="O107" s="6" t="e">
        <f ca="1"/>
        <v>#NAME?</v>
      </c>
      <c r="P107" t="e">
        <f t="shared" ca="1" si="18"/>
        <v>#NAME?</v>
      </c>
      <c r="Q107" t="e">
        <f t="shared" ca="1" si="19"/>
        <v>#NAME?</v>
      </c>
      <c r="R107" t="e">
        <f t="shared" ca="1" si="20"/>
        <v>#NAME?</v>
      </c>
      <c r="S107">
        <v>115.61029618285872</v>
      </c>
      <c r="T107">
        <v>112.19495346655333</v>
      </c>
      <c r="U107">
        <v>0</v>
      </c>
      <c r="V107" t="e">
        <f>0.33*#REF!+0.67*#REF!</f>
        <v>#REF!</v>
      </c>
      <c r="W107">
        <v>0</v>
      </c>
    </row>
    <row r="108" spans="2:23">
      <c r="B108">
        <v>114.62</v>
      </c>
      <c r="C108">
        <v>109.44</v>
      </c>
      <c r="D108" s="7">
        <f t="shared" si="10"/>
        <v>112.03</v>
      </c>
      <c r="E108" s="23">
        <v>2.9684509427792301</v>
      </c>
      <c r="F108" s="25">
        <v>-5.2561437527419796</v>
      </c>
      <c r="G108" s="11">
        <f t="shared" si="11"/>
        <v>-29.455950915231092</v>
      </c>
      <c r="H108" s="11">
        <f t="shared" si="12"/>
        <v>62.916286973875799</v>
      </c>
      <c r="I108" s="35">
        <f t="shared" si="13"/>
        <v>7.9470678269302642E-3</v>
      </c>
      <c r="J108" s="35">
        <f t="shared" si="14"/>
        <v>0.05</v>
      </c>
      <c r="K108" s="35">
        <f t="shared" si="15"/>
        <v>0.05</v>
      </c>
      <c r="L108" s="39">
        <f t="shared" si="16"/>
        <v>115.43184354352246</v>
      </c>
      <c r="M108" s="35">
        <f t="shared" si="17"/>
        <v>112.18932535705528</v>
      </c>
      <c r="N108" s="6" t="e">
        <f ca="1"/>
        <v>#NAME?</v>
      </c>
      <c r="O108" s="6" t="e">
        <f ca="1"/>
        <v>#NAME?</v>
      </c>
      <c r="P108" t="e">
        <f t="shared" ca="1" si="18"/>
        <v>#NAME?</v>
      </c>
      <c r="Q108" t="e">
        <f t="shared" ca="1" si="19"/>
        <v>#NAME?</v>
      </c>
      <c r="R108" t="e">
        <f t="shared" ca="1" si="20"/>
        <v>#NAME?</v>
      </c>
      <c r="S108">
        <v>115.43128137371578</v>
      </c>
      <c r="T108">
        <v>112.27586166423239</v>
      </c>
      <c r="U108">
        <v>0</v>
      </c>
      <c r="V108" t="e">
        <f>0.33*#REF!+0.67*#REF!</f>
        <v>#REF!</v>
      </c>
      <c r="W108">
        <v>0</v>
      </c>
    </row>
    <row r="109" spans="2:23">
      <c r="B109">
        <v>115.31</v>
      </c>
      <c r="C109">
        <v>111.56</v>
      </c>
      <c r="D109" s="7">
        <f t="shared" si="10"/>
        <v>113.435</v>
      </c>
      <c r="E109" s="23">
        <v>7.0446841466161203</v>
      </c>
      <c r="F109" s="25">
        <v>-2.7212856131974199</v>
      </c>
      <c r="G109" s="11">
        <f t="shared" si="11"/>
        <v>-68.878990393999032</v>
      </c>
      <c r="H109" s="11">
        <f t="shared" si="12"/>
        <v>39.42303947876794</v>
      </c>
      <c r="I109" s="35">
        <f t="shared" si="13"/>
        <v>1.2682938875610667E-2</v>
      </c>
      <c r="J109" s="35">
        <f t="shared" si="14"/>
        <v>0.05</v>
      </c>
      <c r="K109" s="35">
        <f t="shared" si="15"/>
        <v>0.05</v>
      </c>
      <c r="L109" s="39">
        <f t="shared" si="16"/>
        <v>115.33200136634633</v>
      </c>
      <c r="M109" s="35">
        <f t="shared" si="17"/>
        <v>112.26789225728754</v>
      </c>
      <c r="N109" s="6" t="e">
        <f ca="1"/>
        <v>#NAME?</v>
      </c>
      <c r="O109" s="6" t="e">
        <f ca="1"/>
        <v>#NAME?</v>
      </c>
      <c r="P109" t="e">
        <f t="shared" ca="1" si="18"/>
        <v>#NAME?</v>
      </c>
      <c r="Q109" t="e">
        <f t="shared" ca="1" si="19"/>
        <v>#NAME?</v>
      </c>
      <c r="R109" t="e">
        <f t="shared" ca="1" si="20"/>
        <v>#NAME?</v>
      </c>
      <c r="S109">
        <v>115.33146730502999</v>
      </c>
      <c r="T109">
        <v>112.35225180525234</v>
      </c>
      <c r="U109">
        <v>0</v>
      </c>
      <c r="V109" t="e">
        <f>0.33*#REF!+0.67*#REF!</f>
        <v>#REF!</v>
      </c>
      <c r="W109">
        <v>0</v>
      </c>
    </row>
    <row r="110" spans="2:23">
      <c r="B110">
        <v>116</v>
      </c>
      <c r="C110">
        <v>112.44</v>
      </c>
      <c r="D110" s="7">
        <f t="shared" si="10"/>
        <v>114.22</v>
      </c>
      <c r="E110" s="23">
        <v>5.12866474495247</v>
      </c>
      <c r="F110" s="25">
        <v>-6.6082722411276898E-2</v>
      </c>
      <c r="G110" s="11">
        <f t="shared" si="11"/>
        <v>-89.26178610475236</v>
      </c>
      <c r="H110" s="11">
        <f t="shared" si="12"/>
        <v>20.382795710753328</v>
      </c>
      <c r="I110" s="35">
        <f t="shared" si="13"/>
        <v>2.4530491650672611E-2</v>
      </c>
      <c r="J110" s="35">
        <f t="shared" si="14"/>
        <v>0.05</v>
      </c>
      <c r="K110" s="35">
        <f t="shared" si="15"/>
        <v>0.05</v>
      </c>
      <c r="L110" s="39">
        <f t="shared" si="16"/>
        <v>115.27640129802901</v>
      </c>
      <c r="M110" s="35">
        <f t="shared" si="17"/>
        <v>112.34310498330608</v>
      </c>
      <c r="N110" s="6" t="e">
        <f ca="1"/>
        <v>#NAME?</v>
      </c>
      <c r="O110" s="6" t="e">
        <f ca="1"/>
        <v>#NAME?</v>
      </c>
      <c r="P110" t="e">
        <f t="shared" ca="1" si="18"/>
        <v>#NAME?</v>
      </c>
      <c r="Q110" t="e">
        <f t="shared" ca="1" si="19"/>
        <v>#NAME?</v>
      </c>
      <c r="R110" t="e">
        <f t="shared" ca="1" si="20"/>
        <v>#NAME?</v>
      </c>
      <c r="S110">
        <v>115.27589393977848</v>
      </c>
      <c r="T110">
        <v>112.42534285861549</v>
      </c>
      <c r="U110">
        <v>0</v>
      </c>
      <c r="V110" t="e">
        <f>0.33*#REF!+0.67*#REF!</f>
        <v>#REF!</v>
      </c>
      <c r="W110">
        <v>0</v>
      </c>
    </row>
    <row r="111" spans="2:23">
      <c r="B111">
        <v>121.69</v>
      </c>
      <c r="C111">
        <v>117.5</v>
      </c>
      <c r="D111" s="7">
        <f t="shared" si="10"/>
        <v>119.595</v>
      </c>
      <c r="E111" s="23">
        <v>1.0618514774261201</v>
      </c>
      <c r="F111" s="25">
        <v>1.0402660563686299</v>
      </c>
      <c r="G111" s="11">
        <f t="shared" si="11"/>
        <v>45.58831632415621</v>
      </c>
      <c r="H111" s="11">
        <f t="shared" si="12"/>
        <v>1</v>
      </c>
      <c r="I111" s="35">
        <f t="shared" si="13"/>
        <v>0.5</v>
      </c>
      <c r="J111" s="35">
        <f t="shared" si="14"/>
        <v>0.5</v>
      </c>
      <c r="K111" s="35">
        <f t="shared" si="15"/>
        <v>0.5</v>
      </c>
      <c r="L111" s="39">
        <f t="shared" si="16"/>
        <v>117.43570064901451</v>
      </c>
      <c r="M111" s="35">
        <f t="shared" si="17"/>
        <v>113.61625389973318</v>
      </c>
      <c r="N111" s="6" t="e">
        <f ca="1"/>
        <v>#NAME?</v>
      </c>
      <c r="O111" s="6" t="e">
        <f ca="1"/>
        <v>#NAME?</v>
      </c>
      <c r="P111" t="e">
        <f t="shared" ca="1" si="18"/>
        <v>#NAME?</v>
      </c>
      <c r="Q111" t="e">
        <f t="shared" ca="1" si="19"/>
        <v>#NAME?</v>
      </c>
      <c r="R111" t="e">
        <f t="shared" ca="1" si="20"/>
        <v>#NAME?</v>
      </c>
      <c r="S111">
        <v>117.43544696988924</v>
      </c>
      <c r="T111">
        <v>113.67786888643393</v>
      </c>
      <c r="U111">
        <v>0</v>
      </c>
      <c r="V111" t="e">
        <f>0.33*#REF!+0.67*#REF!</f>
        <v>#REF!</v>
      </c>
      <c r="W111">
        <v>0</v>
      </c>
    </row>
    <row r="112" spans="2:23">
      <c r="B112">
        <v>119.87</v>
      </c>
      <c r="C112">
        <v>116.06</v>
      </c>
      <c r="D112" s="7">
        <f t="shared" si="10"/>
        <v>117.965</v>
      </c>
      <c r="E112" s="23">
        <v>-2.7812458031776699</v>
      </c>
      <c r="F112" s="25">
        <v>8.0166108991456902E-2</v>
      </c>
      <c r="G112" s="11">
        <f t="shared" si="11"/>
        <v>-88.348974294030185</v>
      </c>
      <c r="H112" s="11">
        <f t="shared" si="12"/>
        <v>133.93729061818641</v>
      </c>
      <c r="I112" s="35">
        <f t="shared" si="13"/>
        <v>3.733090296901291E-3</v>
      </c>
      <c r="J112" s="35">
        <f t="shared" si="14"/>
        <v>0.05</v>
      </c>
      <c r="K112" s="35">
        <f t="shared" si="15"/>
        <v>0.05</v>
      </c>
      <c r="L112" s="39">
        <f t="shared" si="16"/>
        <v>117.46216561656378</v>
      </c>
      <c r="M112" s="35">
        <f t="shared" si="17"/>
        <v>113.71240169265394</v>
      </c>
      <c r="N112" s="6" t="e">
        <f ca="1"/>
        <v>#NAME?</v>
      </c>
      <c r="O112" s="6" t="e">
        <f ca="1"/>
        <v>#NAME?</v>
      </c>
      <c r="P112" t="e">
        <f t="shared" ca="1" si="18"/>
        <v>#NAME?</v>
      </c>
      <c r="Q112" t="e">
        <f t="shared" ca="1" si="19"/>
        <v>#NAME?</v>
      </c>
      <c r="R112" t="e">
        <f t="shared" ca="1" si="20"/>
        <v>#NAME?</v>
      </c>
      <c r="S112">
        <v>117.46192462139477</v>
      </c>
      <c r="T112">
        <v>113.77247027980795</v>
      </c>
      <c r="U112">
        <v>0</v>
      </c>
      <c r="V112" t="e">
        <f>0.33*#REF!+0.67*#REF!</f>
        <v>#REF!</v>
      </c>
      <c r="W112">
        <v>0</v>
      </c>
    </row>
    <row r="113" spans="2:23">
      <c r="B113">
        <v>120.87</v>
      </c>
      <c r="C113">
        <v>116.56</v>
      </c>
      <c r="D113" s="7">
        <f t="shared" si="10"/>
        <v>118.715</v>
      </c>
      <c r="E113" s="23">
        <v>-0.18785545504519</v>
      </c>
      <c r="F113" s="25">
        <v>-1.91654641732328</v>
      </c>
      <c r="G113" s="11">
        <f t="shared" si="11"/>
        <v>5.5981178168204577</v>
      </c>
      <c r="H113" s="11">
        <f t="shared" si="12"/>
        <v>1</v>
      </c>
      <c r="I113" s="35">
        <f t="shared" si="13"/>
        <v>0.5</v>
      </c>
      <c r="J113" s="35">
        <f t="shared" si="14"/>
        <v>0.5</v>
      </c>
      <c r="K113" s="35">
        <f t="shared" si="15"/>
        <v>0.5</v>
      </c>
      <c r="L113" s="39">
        <f t="shared" si="16"/>
        <v>118.0885828082819</v>
      </c>
      <c r="M113" s="35">
        <f t="shared" si="17"/>
        <v>114.80644697156093</v>
      </c>
      <c r="N113" s="6" t="e">
        <f ca="1"/>
        <v>#NAME?</v>
      </c>
      <c r="O113" s="6" t="e">
        <f ca="1"/>
        <v>#NAME?</v>
      </c>
      <c r="P113" t="e">
        <f t="shared" ca="1" si="18"/>
        <v>#NAME?</v>
      </c>
      <c r="Q113" t="e">
        <f t="shared" ca="1" si="19"/>
        <v>#NAME?</v>
      </c>
      <c r="R113" t="e">
        <f t="shared" ca="1" si="20"/>
        <v>#NAME?</v>
      </c>
      <c r="S113">
        <v>118.08846231069739</v>
      </c>
      <c r="T113">
        <v>114.85146828753031</v>
      </c>
      <c r="U113">
        <v>0</v>
      </c>
      <c r="V113" t="e">
        <f>0.33*#REF!+0.67*#REF!</f>
        <v>#REF!</v>
      </c>
      <c r="W113">
        <v>0</v>
      </c>
    </row>
    <row r="114" spans="2:23">
      <c r="B114">
        <v>116.75</v>
      </c>
      <c r="C114">
        <v>113.31</v>
      </c>
      <c r="D114" s="7">
        <f t="shared" si="10"/>
        <v>115.03</v>
      </c>
      <c r="E114" s="23">
        <v>3.9543756403830601</v>
      </c>
      <c r="F114" s="25">
        <v>-0.80130094835982002</v>
      </c>
      <c r="G114" s="11">
        <f t="shared" si="11"/>
        <v>-78.544889618028876</v>
      </c>
      <c r="H114" s="11">
        <f t="shared" si="12"/>
        <v>84.143007434849338</v>
      </c>
      <c r="I114" s="35">
        <f t="shared" si="13"/>
        <v>5.9422644286531174E-3</v>
      </c>
      <c r="J114" s="35">
        <f t="shared" si="14"/>
        <v>0.05</v>
      </c>
      <c r="K114" s="35">
        <f t="shared" si="15"/>
        <v>0.05</v>
      </c>
      <c r="L114" s="39">
        <f t="shared" si="16"/>
        <v>117.9356536678678</v>
      </c>
      <c r="M114" s="35">
        <f t="shared" si="17"/>
        <v>114.8846771389686</v>
      </c>
      <c r="N114" s="6" t="e">
        <f ca="1"/>
        <v>#NAME?</v>
      </c>
      <c r="O114" s="6" t="e">
        <f ca="1"/>
        <v>#NAME?</v>
      </c>
      <c r="P114" t="e">
        <f t="shared" ca="1" si="18"/>
        <v>#NAME?</v>
      </c>
      <c r="Q114" t="e">
        <f t="shared" ca="1" si="19"/>
        <v>#NAME?</v>
      </c>
      <c r="R114" t="e">
        <f t="shared" ca="1" si="20"/>
        <v>#NAME?</v>
      </c>
      <c r="S114">
        <v>117.93553919516253</v>
      </c>
      <c r="T114">
        <v>114.92857006022111</v>
      </c>
      <c r="U114">
        <v>0</v>
      </c>
      <c r="V114" t="e">
        <f>0.33*#REF!+0.67*#REF!</f>
        <v>#REF!</v>
      </c>
      <c r="W114">
        <v>0</v>
      </c>
    </row>
    <row r="115" spans="2:23">
      <c r="B115">
        <v>116.5</v>
      </c>
      <c r="C115">
        <v>112.56</v>
      </c>
      <c r="D115" s="7">
        <f t="shared" si="10"/>
        <v>114.53</v>
      </c>
      <c r="E115" s="23">
        <v>6.4077368987407404</v>
      </c>
      <c r="F115" s="25">
        <v>0.77965943442812902</v>
      </c>
      <c r="G115" s="11">
        <f t="shared" si="11"/>
        <v>83.062654547328464</v>
      </c>
      <c r="H115" s="11">
        <f t="shared" si="12"/>
        <v>1</v>
      </c>
      <c r="I115" s="35">
        <f t="shared" si="13"/>
        <v>0.5</v>
      </c>
      <c r="J115" s="35">
        <f t="shared" si="14"/>
        <v>0.5</v>
      </c>
      <c r="K115" s="35">
        <f t="shared" si="15"/>
        <v>0.5</v>
      </c>
      <c r="L115" s="39">
        <f t="shared" si="16"/>
        <v>116.2328268339339</v>
      </c>
      <c r="M115" s="35">
        <f t="shared" si="17"/>
        <v>115.22171456270993</v>
      </c>
      <c r="N115" s="6" t="e">
        <f ca="1"/>
        <v>#NAME?</v>
      </c>
      <c r="O115" s="6" t="e">
        <f ca="1"/>
        <v>#NAME?</v>
      </c>
      <c r="P115" t="e">
        <f t="shared" ca="1" si="18"/>
        <v>#NAME?</v>
      </c>
      <c r="Q115" t="e">
        <f t="shared" ca="1" si="19"/>
        <v>#NAME?</v>
      </c>
      <c r="R115" t="e">
        <f t="shared" ca="1" si="20"/>
        <v>#NAME?</v>
      </c>
      <c r="S115">
        <v>116.23276959758127</v>
      </c>
      <c r="T115">
        <v>115.25461994456114</v>
      </c>
      <c r="U115">
        <v>0</v>
      </c>
      <c r="V115" t="e">
        <f>0.33*#REF!+0.67*#REF!</f>
        <v>#REF!</v>
      </c>
      <c r="W115">
        <v>0</v>
      </c>
    </row>
    <row r="116" spans="2:23">
      <c r="B116">
        <v>116</v>
      </c>
      <c r="C116">
        <v>114</v>
      </c>
      <c r="D116" s="7">
        <f t="shared" si="10"/>
        <v>115</v>
      </c>
      <c r="E116" s="23">
        <v>5.5711084564222801</v>
      </c>
      <c r="F116" s="25">
        <v>4.2524538477611502</v>
      </c>
      <c r="G116" s="11">
        <f t="shared" si="11"/>
        <v>52.645332056934642</v>
      </c>
      <c r="H116" s="11">
        <f t="shared" si="12"/>
        <v>30.417322490393822</v>
      </c>
      <c r="I116" s="35">
        <f t="shared" si="13"/>
        <v>1.6438001739236135E-2</v>
      </c>
      <c r="J116" s="35">
        <f t="shared" si="14"/>
        <v>0.05</v>
      </c>
      <c r="K116" s="35">
        <f t="shared" si="15"/>
        <v>0.05</v>
      </c>
      <c r="L116" s="39">
        <f t="shared" si="16"/>
        <v>116.1711854922372</v>
      </c>
      <c r="M116" s="35">
        <f t="shared" si="17"/>
        <v>115.24545133594812</v>
      </c>
      <c r="N116" s="6" t="e">
        <f ca="1"/>
        <v>#NAME?</v>
      </c>
      <c r="O116" s="6" t="e">
        <f ca="1"/>
        <v>#NAME?</v>
      </c>
      <c r="P116" t="e">
        <f t="shared" ca="1" si="18"/>
        <v>#NAME?</v>
      </c>
      <c r="Q116" t="e">
        <f t="shared" ca="1" si="19"/>
        <v>#NAME?</v>
      </c>
      <c r="R116" t="e">
        <f t="shared" ca="1" si="20"/>
        <v>#NAME?</v>
      </c>
      <c r="S116">
        <v>116.1711311177022</v>
      </c>
      <c r="T116">
        <v>115.27753272388966</v>
      </c>
      <c r="U116">
        <v>0</v>
      </c>
      <c r="V116" t="e">
        <f>0.33*#REF!+0.67*#REF!</f>
        <v>#REF!</v>
      </c>
      <c r="W116">
        <v>0</v>
      </c>
    </row>
    <row r="117" spans="2:23">
      <c r="B117">
        <v>118.31</v>
      </c>
      <c r="C117">
        <v>114.75</v>
      </c>
      <c r="D117" s="7">
        <f t="shared" si="10"/>
        <v>116.53</v>
      </c>
      <c r="E117" s="23">
        <v>-1.6973251687789801</v>
      </c>
      <c r="F117" s="25">
        <v>5.2837400275741198</v>
      </c>
      <c r="G117" s="11">
        <f t="shared" si="11"/>
        <v>-17.808864993387612</v>
      </c>
      <c r="H117" s="11">
        <f t="shared" si="12"/>
        <v>70.45419705032225</v>
      </c>
      <c r="I117" s="35">
        <f t="shared" si="13"/>
        <v>7.0968092879246441E-3</v>
      </c>
      <c r="J117" s="35">
        <f t="shared" si="14"/>
        <v>0.05</v>
      </c>
      <c r="K117" s="35">
        <f t="shared" si="15"/>
        <v>0.05</v>
      </c>
      <c r="L117" s="39">
        <f t="shared" si="16"/>
        <v>116.18912621762533</v>
      </c>
      <c r="M117" s="35">
        <f t="shared" si="17"/>
        <v>115.26904320799005</v>
      </c>
      <c r="N117" s="6" t="e">
        <f ca="1"/>
        <v>#NAME?</v>
      </c>
      <c r="O117" s="6" t="e">
        <f ca="1"/>
        <v>#NAME?</v>
      </c>
      <c r="P117" t="e">
        <f t="shared" ca="1" si="18"/>
        <v>#NAME?</v>
      </c>
      <c r="Q117" t="e">
        <f t="shared" ca="1" si="19"/>
        <v>#NAME?</v>
      </c>
      <c r="R117" t="e">
        <f t="shared" ca="1" si="20"/>
        <v>#NAME?</v>
      </c>
      <c r="S117">
        <v>116.18907456181708</v>
      </c>
      <c r="T117">
        <v>115.30032126983785</v>
      </c>
      <c r="U117">
        <v>0</v>
      </c>
      <c r="V117" t="e">
        <f>0.33*#REF!+0.67*#REF!</f>
        <v>#REF!</v>
      </c>
      <c r="W117">
        <v>0</v>
      </c>
    </row>
    <row r="118" spans="2:23">
      <c r="B118">
        <v>121.5</v>
      </c>
      <c r="C118">
        <v>118.87</v>
      </c>
      <c r="D118" s="7">
        <f t="shared" si="10"/>
        <v>120.185</v>
      </c>
      <c r="E118" s="23">
        <v>-6.4197114902003403</v>
      </c>
      <c r="F118" s="25">
        <v>3.10518627838302</v>
      </c>
      <c r="G118" s="11">
        <f t="shared" si="11"/>
        <v>-64.187149650455183</v>
      </c>
      <c r="H118" s="11">
        <f t="shared" si="12"/>
        <v>46.378284657067567</v>
      </c>
      <c r="I118" s="35">
        <f t="shared" si="13"/>
        <v>1.0780907566916777E-2</v>
      </c>
      <c r="J118" s="35">
        <f t="shared" si="14"/>
        <v>0.05</v>
      </c>
      <c r="K118" s="35">
        <f t="shared" si="15"/>
        <v>0.05</v>
      </c>
      <c r="L118" s="39">
        <f t="shared" si="16"/>
        <v>116.38891990674405</v>
      </c>
      <c r="M118" s="35">
        <f t="shared" si="17"/>
        <v>115.29704012545889</v>
      </c>
      <c r="N118" s="6" t="e">
        <f ca="1"/>
        <v>#NAME?</v>
      </c>
      <c r="O118" s="6" t="e">
        <f ca="1"/>
        <v>#NAME?</v>
      </c>
      <c r="P118" t="e">
        <f t="shared" ca="1" si="18"/>
        <v>#NAME?</v>
      </c>
      <c r="Q118" t="e">
        <f t="shared" ca="1" si="19"/>
        <v>#NAME?</v>
      </c>
      <c r="R118" t="e">
        <f t="shared" ca="1" si="20"/>
        <v>#NAME?</v>
      </c>
      <c r="S118">
        <v>116.38887083372622</v>
      </c>
      <c r="T118">
        <v>115.32753500893506</v>
      </c>
      <c r="U118">
        <v>0</v>
      </c>
      <c r="V118" t="e">
        <f>0.33*#REF!+0.67*#REF!</f>
        <v>#REF!</v>
      </c>
      <c r="W118">
        <v>0</v>
      </c>
    </row>
    <row r="119" spans="2:23">
      <c r="B119">
        <v>122</v>
      </c>
      <c r="C119">
        <v>119</v>
      </c>
      <c r="D119" s="7">
        <f t="shared" si="10"/>
        <v>120.5</v>
      </c>
      <c r="E119" s="23">
        <v>-7.8618431867007601</v>
      </c>
      <c r="F119" s="25">
        <v>0.27117508891337699</v>
      </c>
      <c r="G119" s="11">
        <f t="shared" si="11"/>
        <v>-88.024505143486451</v>
      </c>
      <c r="H119" s="11">
        <f t="shared" si="12"/>
        <v>23.837355493031268</v>
      </c>
      <c r="I119" s="35">
        <f t="shared" si="13"/>
        <v>2.097548111602281E-2</v>
      </c>
      <c r="J119" s="35">
        <f t="shared" si="14"/>
        <v>0.05</v>
      </c>
      <c r="K119" s="35">
        <f t="shared" si="15"/>
        <v>0.05</v>
      </c>
      <c r="L119" s="39">
        <f t="shared" si="16"/>
        <v>116.59447391140685</v>
      </c>
      <c r="M119" s="35">
        <f t="shared" si="17"/>
        <v>115.32947597010759</v>
      </c>
      <c r="N119" s="6" t="e">
        <f ca="1"/>
        <v>#NAME?</v>
      </c>
      <c r="O119" s="6" t="e">
        <f ca="1"/>
        <v>#NAME?</v>
      </c>
      <c r="P119" t="e">
        <f t="shared" ca="1" si="18"/>
        <v>#NAME?</v>
      </c>
      <c r="Q119" t="e">
        <f t="shared" ca="1" si="19"/>
        <v>#NAME?</v>
      </c>
      <c r="R119" t="e">
        <f t="shared" ca="1" si="20"/>
        <v>#NAME?</v>
      </c>
      <c r="S119">
        <v>116.59442729203991</v>
      </c>
      <c r="T119">
        <v>115.35920731601267</v>
      </c>
      <c r="U119">
        <v>0</v>
      </c>
      <c r="V119" t="e">
        <f>0.33*#REF!+0.67*#REF!</f>
        <v>#REF!</v>
      </c>
      <c r="W119">
        <v>0</v>
      </c>
    </row>
    <row r="120" spans="2:23">
      <c r="B120">
        <v>121.44</v>
      </c>
      <c r="C120">
        <v>119.75</v>
      </c>
      <c r="D120" s="7">
        <f t="shared" si="10"/>
        <v>120.595</v>
      </c>
      <c r="E120" s="23">
        <v>-3.3124454879439198</v>
      </c>
      <c r="F120" s="25">
        <v>-2.79343035102618</v>
      </c>
      <c r="G120" s="11">
        <f t="shared" si="11"/>
        <v>49.858609098971151</v>
      </c>
      <c r="H120" s="11">
        <f t="shared" si="12"/>
        <v>1</v>
      </c>
      <c r="I120" s="35">
        <f t="shared" si="13"/>
        <v>0.5</v>
      </c>
      <c r="J120" s="35">
        <f t="shared" si="14"/>
        <v>0.5</v>
      </c>
      <c r="K120" s="35">
        <f t="shared" si="15"/>
        <v>0.5</v>
      </c>
      <c r="L120" s="39">
        <f t="shared" si="16"/>
        <v>118.59473695570342</v>
      </c>
      <c r="M120" s="35">
        <f t="shared" si="17"/>
        <v>116.14579121650655</v>
      </c>
      <c r="N120" s="6" t="e">
        <f ca="1"/>
        <v>#NAME?</v>
      </c>
      <c r="O120" s="6" t="e">
        <f ca="1"/>
        <v>#NAME?</v>
      </c>
      <c r="P120" t="e">
        <f t="shared" ca="1" si="18"/>
        <v>#NAME?</v>
      </c>
      <c r="Q120" t="e">
        <f t="shared" ca="1" si="19"/>
        <v>#NAME?</v>
      </c>
      <c r="R120" t="e">
        <f t="shared" ca="1" si="20"/>
        <v>#NAME?</v>
      </c>
      <c r="S120">
        <v>118.59471364601995</v>
      </c>
      <c r="T120">
        <v>116.1680838985145</v>
      </c>
      <c r="U120">
        <v>0</v>
      </c>
      <c r="V120" t="e">
        <f>0.33*#REF!+0.67*#REF!</f>
        <v>#REF!</v>
      </c>
      <c r="W120">
        <v>0</v>
      </c>
    </row>
    <row r="121" spans="2:23">
      <c r="B121">
        <v>125.75</v>
      </c>
      <c r="C121">
        <v>122.62</v>
      </c>
      <c r="D121" s="7">
        <f t="shared" si="10"/>
        <v>124.185</v>
      </c>
      <c r="E121" s="23">
        <v>3.3249576692932301</v>
      </c>
      <c r="F121" s="25">
        <v>-2.2168457469059701</v>
      </c>
      <c r="G121" s="11">
        <f t="shared" si="11"/>
        <v>-56.307459474896952</v>
      </c>
      <c r="H121" s="11">
        <f t="shared" si="12"/>
        <v>106.1660685738681</v>
      </c>
      <c r="I121" s="35">
        <f t="shared" si="13"/>
        <v>4.7096026698220496E-3</v>
      </c>
      <c r="J121" s="35">
        <f t="shared" si="14"/>
        <v>0.05</v>
      </c>
      <c r="K121" s="35">
        <f t="shared" si="15"/>
        <v>0.05</v>
      </c>
      <c r="L121" s="39">
        <f t="shared" si="16"/>
        <v>118.87425010791824</v>
      </c>
      <c r="M121" s="35">
        <f t="shared" si="17"/>
        <v>116.21400268879185</v>
      </c>
      <c r="N121" s="6" t="e">
        <f ca="1"/>
        <v>#NAME?</v>
      </c>
      <c r="O121" s="6" t="e">
        <f ca="1"/>
        <v>#NAME?</v>
      </c>
      <c r="P121" t="e">
        <f t="shared" ca="1" si="18"/>
        <v>#NAME?</v>
      </c>
      <c r="Q121" t="e">
        <f t="shared" ca="1" si="19"/>
        <v>#NAME?</v>
      </c>
      <c r="R121" t="e">
        <f t="shared" ca="1" si="20"/>
        <v>#NAME?</v>
      </c>
      <c r="S121">
        <v>118.87422796371895</v>
      </c>
      <c r="T121">
        <v>116.23573750014459</v>
      </c>
      <c r="U121">
        <v>0</v>
      </c>
      <c r="V121" t="e">
        <f>0.33*#REF!+0.67*#REF!</f>
        <v>#REF!</v>
      </c>
      <c r="W121">
        <v>0</v>
      </c>
    </row>
    <row r="122" spans="2:23">
      <c r="B122">
        <v>127.75</v>
      </c>
      <c r="C122">
        <v>123</v>
      </c>
      <c r="D122" s="7">
        <f t="shared" si="10"/>
        <v>125.375</v>
      </c>
      <c r="E122" s="23">
        <v>7.0699845188049197</v>
      </c>
      <c r="F122" s="25">
        <v>-0.23489313514997801</v>
      </c>
      <c r="G122" s="11">
        <f t="shared" si="11"/>
        <v>-88.097105222592106</v>
      </c>
      <c r="H122" s="11">
        <f t="shared" si="12"/>
        <v>31.789645747695154</v>
      </c>
      <c r="I122" s="35">
        <f t="shared" si="13"/>
        <v>1.5728391689808358E-2</v>
      </c>
      <c r="J122" s="35">
        <f t="shared" si="14"/>
        <v>0.05</v>
      </c>
      <c r="K122" s="35">
        <f t="shared" si="15"/>
        <v>0.05</v>
      </c>
      <c r="L122" s="39">
        <f t="shared" si="16"/>
        <v>119.19928760252232</v>
      </c>
      <c r="M122" s="35">
        <f t="shared" si="17"/>
        <v>116.28863481163511</v>
      </c>
      <c r="N122" s="6" t="e">
        <f ca="1"/>
        <v>#NAME?</v>
      </c>
      <c r="O122" s="6" t="e">
        <f ca="1"/>
        <v>#NAME?</v>
      </c>
      <c r="P122" t="e">
        <f t="shared" ca="1" si="18"/>
        <v>#NAME?</v>
      </c>
      <c r="Q122" t="e">
        <f t="shared" ca="1" si="19"/>
        <v>#NAME?</v>
      </c>
      <c r="R122" t="e">
        <f t="shared" ca="1" si="20"/>
        <v>#NAME?</v>
      </c>
      <c r="S122">
        <v>119.19926656553299</v>
      </c>
      <c r="T122">
        <v>116.30982572677929</v>
      </c>
      <c r="U122">
        <v>0</v>
      </c>
      <c r="V122" t="e">
        <f>0.33*#REF!+0.67*#REF!</f>
        <v>#REF!</v>
      </c>
      <c r="W122">
        <v>0</v>
      </c>
    </row>
    <row r="123" spans="2:23">
      <c r="B123">
        <v>124.19</v>
      </c>
      <c r="C123">
        <v>121.75</v>
      </c>
      <c r="D123" s="7">
        <f t="shared" si="10"/>
        <v>122.97</v>
      </c>
      <c r="E123" s="23">
        <v>8.0288909287338797</v>
      </c>
      <c r="F123" s="25">
        <v>3.19091300048209</v>
      </c>
      <c r="G123" s="11">
        <f t="shared" si="11"/>
        <v>68.325698900254494</v>
      </c>
      <c r="H123" s="11">
        <f t="shared" si="12"/>
        <v>1</v>
      </c>
      <c r="I123" s="35">
        <f t="shared" si="13"/>
        <v>0.5</v>
      </c>
      <c r="J123" s="35">
        <f t="shared" si="14"/>
        <v>0.5</v>
      </c>
      <c r="K123" s="35">
        <f t="shared" si="15"/>
        <v>0.5</v>
      </c>
      <c r="L123" s="39">
        <f t="shared" si="16"/>
        <v>121.08464380126117</v>
      </c>
      <c r="M123" s="35">
        <f t="shared" si="17"/>
        <v>117.48763705904162</v>
      </c>
      <c r="N123" s="6" t="e">
        <f ca="1"/>
        <v>#NAME?</v>
      </c>
      <c r="O123" s="6" t="e">
        <f ca="1"/>
        <v>#NAME?</v>
      </c>
      <c r="P123" t="e">
        <f t="shared" ca="1" si="18"/>
        <v>#NAME?</v>
      </c>
      <c r="Q123" t="e">
        <f t="shared" ca="1" si="19"/>
        <v>#NAME?</v>
      </c>
      <c r="R123" t="e">
        <f t="shared" ca="1" si="20"/>
        <v>#NAME?</v>
      </c>
      <c r="S123">
        <v>121.0846332827665</v>
      </c>
      <c r="T123">
        <v>117.50352761577609</v>
      </c>
      <c r="U123">
        <v>0</v>
      </c>
      <c r="V123" t="e">
        <f>0.33*#REF!+0.67*#REF!</f>
        <v>#REF!</v>
      </c>
      <c r="W123">
        <v>0</v>
      </c>
    </row>
    <row r="124" spans="2:23">
      <c r="B124">
        <v>124.44</v>
      </c>
      <c r="C124">
        <v>121.56</v>
      </c>
      <c r="D124" s="7">
        <f t="shared" si="10"/>
        <v>123</v>
      </c>
      <c r="E124" s="23">
        <v>3.29575032183025</v>
      </c>
      <c r="F124" s="25">
        <v>5.21035903971881</v>
      </c>
      <c r="G124" s="11">
        <f t="shared" si="11"/>
        <v>32.314910009266022</v>
      </c>
      <c r="H124" s="11">
        <f t="shared" si="12"/>
        <v>36.010788890988472</v>
      </c>
      <c r="I124" s="35">
        <f t="shared" si="13"/>
        <v>1.3884727755162359E-2</v>
      </c>
      <c r="J124" s="35">
        <f t="shared" si="14"/>
        <v>0.05</v>
      </c>
      <c r="K124" s="35">
        <f t="shared" si="15"/>
        <v>0.05</v>
      </c>
      <c r="L124" s="39">
        <f t="shared" si="16"/>
        <v>121.18041161119811</v>
      </c>
      <c r="M124" s="35">
        <f t="shared" si="17"/>
        <v>117.57995642284553</v>
      </c>
      <c r="N124" s="6" t="e">
        <f ca="1"/>
        <v>#NAME?</v>
      </c>
      <c r="O124" s="6" t="e">
        <f ca="1"/>
        <v>#NAME?</v>
      </c>
      <c r="P124" t="e">
        <f t="shared" ca="1" si="18"/>
        <v>#NAME?</v>
      </c>
      <c r="Q124" t="e">
        <f t="shared" ca="1" si="19"/>
        <v>#NAME?</v>
      </c>
      <c r="R124" t="e">
        <f t="shared" ca="1" si="20"/>
        <v>#NAME?</v>
      </c>
      <c r="S124">
        <v>121.18040161862818</v>
      </c>
      <c r="T124">
        <v>117.59544946584739</v>
      </c>
      <c r="U124">
        <v>0</v>
      </c>
      <c r="V124" t="e">
        <f>0.33*#REF!+0.67*#REF!</f>
        <v>#REF!</v>
      </c>
      <c r="W124">
        <v>0</v>
      </c>
    </row>
    <row r="125" spans="2:23">
      <c r="B125">
        <v>125.75</v>
      </c>
      <c r="C125">
        <v>123.12</v>
      </c>
      <c r="D125" s="7">
        <f t="shared" si="10"/>
        <v>124.435</v>
      </c>
      <c r="E125" s="23">
        <v>0.55203269984985004</v>
      </c>
      <c r="F125" s="25">
        <v>4.5940903657287704</v>
      </c>
      <c r="G125" s="11">
        <f t="shared" si="11"/>
        <v>6.8518940491884548</v>
      </c>
      <c r="H125" s="11">
        <f t="shared" si="12"/>
        <v>25.463015960077566</v>
      </c>
      <c r="I125" s="35">
        <f t="shared" si="13"/>
        <v>1.9636322766475495E-2</v>
      </c>
      <c r="J125" s="35">
        <f t="shared" si="14"/>
        <v>0.05</v>
      </c>
      <c r="K125" s="35">
        <f t="shared" si="15"/>
        <v>0.05</v>
      </c>
      <c r="L125" s="39">
        <f t="shared" si="16"/>
        <v>121.34314103063819</v>
      </c>
      <c r="M125" s="35">
        <f t="shared" si="17"/>
        <v>117.67403603804034</v>
      </c>
      <c r="N125" s="6" t="e">
        <f ca="1"/>
        <v>#NAME?</v>
      </c>
      <c r="O125" s="6" t="e">
        <f ca="1"/>
        <v>#NAME?</v>
      </c>
      <c r="P125" t="e">
        <f t="shared" ca="1" si="18"/>
        <v>#NAME?</v>
      </c>
      <c r="Q125" t="e">
        <f t="shared" ca="1" si="19"/>
        <v>#NAME?</v>
      </c>
      <c r="R125" t="e">
        <f t="shared" ca="1" si="20"/>
        <v>#NAME?</v>
      </c>
      <c r="S125">
        <v>121.34313153769676</v>
      </c>
      <c r="T125">
        <v>117.68914151764362</v>
      </c>
      <c r="U125">
        <v>0</v>
      </c>
      <c r="V125" t="e">
        <f>0.33*#REF!+0.67*#REF!</f>
        <v>#REF!</v>
      </c>
      <c r="W125">
        <v>0</v>
      </c>
    </row>
    <row r="126" spans="2:23">
      <c r="B126">
        <v>124.69</v>
      </c>
      <c r="C126">
        <v>122.19</v>
      </c>
      <c r="D126" s="7">
        <f t="shared" si="10"/>
        <v>123.44</v>
      </c>
      <c r="E126" s="23">
        <v>0.68190519005723005</v>
      </c>
      <c r="F126" s="25">
        <v>5.0767034941261704</v>
      </c>
      <c r="G126" s="11">
        <f t="shared" si="11"/>
        <v>7.6502069011342364</v>
      </c>
      <c r="H126" s="11">
        <f t="shared" si="12"/>
        <v>1</v>
      </c>
      <c r="I126" s="35">
        <f t="shared" si="13"/>
        <v>0.5</v>
      </c>
      <c r="J126" s="35">
        <f t="shared" si="14"/>
        <v>0.5</v>
      </c>
      <c r="K126" s="35">
        <f t="shared" si="15"/>
        <v>0.5</v>
      </c>
      <c r="L126" s="39">
        <f t="shared" si="16"/>
        <v>122.3915705153191</v>
      </c>
      <c r="M126" s="35">
        <f t="shared" si="17"/>
        <v>118.85341965736004</v>
      </c>
      <c r="N126" s="6" t="e">
        <f ca="1"/>
        <v>#NAME?</v>
      </c>
      <c r="O126" s="6" t="e">
        <f ca="1"/>
        <v>#NAME?</v>
      </c>
      <c r="P126" t="e">
        <f t="shared" ca="1" si="18"/>
        <v>#NAME?</v>
      </c>
      <c r="Q126" t="e">
        <f t="shared" ca="1" si="19"/>
        <v>#NAME?</v>
      </c>
      <c r="R126" t="e">
        <f t="shared" ca="1" si="20"/>
        <v>#NAME?</v>
      </c>
      <c r="S126">
        <v>122.39156576884838</v>
      </c>
      <c r="T126">
        <v>118.8647475804448</v>
      </c>
      <c r="U126">
        <v>0</v>
      </c>
      <c r="V126" t="e">
        <f>0.33*#REF!+0.67*#REF!</f>
        <v>#REF!</v>
      </c>
      <c r="W126">
        <v>0</v>
      </c>
    </row>
    <row r="127" spans="2:23">
      <c r="B127">
        <v>125.31</v>
      </c>
      <c r="C127">
        <v>122.75</v>
      </c>
      <c r="D127" s="7">
        <f t="shared" si="10"/>
        <v>124.03</v>
      </c>
      <c r="E127" s="23">
        <v>-3.3351658032068898</v>
      </c>
      <c r="F127" s="25">
        <v>5.5222273297045303</v>
      </c>
      <c r="G127" s="11">
        <f t="shared" si="11"/>
        <v>-31.130003369294087</v>
      </c>
      <c r="H127" s="11">
        <f t="shared" si="12"/>
        <v>38.780210270428327</v>
      </c>
      <c r="I127" s="35">
        <f t="shared" si="13"/>
        <v>1.289317403163419E-2</v>
      </c>
      <c r="J127" s="35">
        <f t="shared" si="14"/>
        <v>0.05</v>
      </c>
      <c r="K127" s="35">
        <f t="shared" si="15"/>
        <v>0.05</v>
      </c>
      <c r="L127" s="39">
        <f t="shared" si="16"/>
        <v>122.47349198955314</v>
      </c>
      <c r="M127" s="35">
        <f t="shared" si="17"/>
        <v>118.94392146566486</v>
      </c>
      <c r="N127" s="6" t="e">
        <f ca="1"/>
        <v>#NAME?</v>
      </c>
      <c r="O127" s="6" t="e">
        <f ca="1"/>
        <v>#NAME?</v>
      </c>
      <c r="P127" t="e">
        <f t="shared" ca="1" si="18"/>
        <v>#NAME?</v>
      </c>
      <c r="Q127" t="e">
        <f t="shared" ca="1" si="19"/>
        <v>#NAME?</v>
      </c>
      <c r="R127" t="e">
        <f t="shared" ca="1" si="20"/>
        <v>#NAME?</v>
      </c>
      <c r="S127">
        <v>122.47348748040595</v>
      </c>
      <c r="T127">
        <v>118.95496607794384</v>
      </c>
      <c r="U127">
        <v>0</v>
      </c>
      <c r="V127" t="e">
        <f>0.33*#REF!+0.67*#REF!</f>
        <v>#REF!</v>
      </c>
      <c r="W127">
        <v>0</v>
      </c>
    </row>
    <row r="128" spans="2:23">
      <c r="B128">
        <v>132</v>
      </c>
      <c r="C128">
        <v>124.37</v>
      </c>
      <c r="D128" s="7">
        <f t="shared" si="10"/>
        <v>128.185</v>
      </c>
      <c r="E128" s="23">
        <v>-6.4491676407127301</v>
      </c>
      <c r="F128" s="25">
        <v>3.1838267815369901</v>
      </c>
      <c r="G128" s="11">
        <f t="shared" si="11"/>
        <v>-63.725355834523079</v>
      </c>
      <c r="H128" s="11">
        <f t="shared" si="12"/>
        <v>32.595352465228991</v>
      </c>
      <c r="I128" s="35">
        <f t="shared" si="13"/>
        <v>1.533961016477345E-2</v>
      </c>
      <c r="J128" s="35">
        <f t="shared" si="14"/>
        <v>0.05</v>
      </c>
      <c r="K128" s="35">
        <f t="shared" si="15"/>
        <v>0.05</v>
      </c>
      <c r="L128" s="39">
        <f t="shared" si="16"/>
        <v>122.75906739007547</v>
      </c>
      <c r="M128" s="35">
        <f t="shared" si="17"/>
        <v>119.03930011377513</v>
      </c>
      <c r="N128" s="6" t="e">
        <f ca="1"/>
        <v>#NAME?</v>
      </c>
      <c r="O128" s="6" t="e">
        <f ca="1"/>
        <v>#NAME?</v>
      </c>
      <c r="P128" t="e">
        <f t="shared" ca="1" si="18"/>
        <v>#NAME?</v>
      </c>
      <c r="Q128" t="e">
        <f t="shared" ca="1" si="19"/>
        <v>#NAME?</v>
      </c>
      <c r="R128" t="e">
        <f t="shared" ca="1" si="20"/>
        <v>#NAME?</v>
      </c>
      <c r="S128">
        <v>122.75906310638565</v>
      </c>
      <c r="T128">
        <v>119.05006850365488</v>
      </c>
      <c r="U128">
        <v>0</v>
      </c>
      <c r="V128" t="e">
        <f>0.33*#REF!+0.67*#REF!</f>
        <v>#REF!</v>
      </c>
      <c r="W128">
        <v>0</v>
      </c>
    </row>
    <row r="129" spans="2:23">
      <c r="B129">
        <v>131.31</v>
      </c>
      <c r="C129">
        <v>128</v>
      </c>
      <c r="D129" s="7">
        <f t="shared" si="10"/>
        <v>129.655</v>
      </c>
      <c r="E129" s="23">
        <v>-3.8171050184627799</v>
      </c>
      <c r="F129" s="25">
        <v>0.77593955383115298</v>
      </c>
      <c r="G129" s="11">
        <f t="shared" si="11"/>
        <v>-78.509502364545455</v>
      </c>
      <c r="H129" s="11">
        <f t="shared" si="12"/>
        <v>14.784146530022376</v>
      </c>
      <c r="I129" s="35">
        <f t="shared" si="13"/>
        <v>3.3820011116951723E-2</v>
      </c>
      <c r="J129" s="35">
        <f t="shared" si="14"/>
        <v>0.05</v>
      </c>
      <c r="K129" s="35">
        <f t="shared" si="15"/>
        <v>0.05</v>
      </c>
      <c r="L129" s="39">
        <f t="shared" si="16"/>
        <v>123.10386402057169</v>
      </c>
      <c r="M129" s="35">
        <f t="shared" si="17"/>
        <v>119.14091421144505</v>
      </c>
      <c r="N129" s="6" t="e">
        <f ca="1"/>
        <v>#NAME?</v>
      </c>
      <c r="O129" s="6" t="e">
        <f ca="1"/>
        <v>#NAME?</v>
      </c>
      <c r="P129" t="e">
        <f t="shared" ca="1" si="18"/>
        <v>#NAME?</v>
      </c>
      <c r="Q129" t="e">
        <f t="shared" ca="1" si="19"/>
        <v>#NAME?</v>
      </c>
      <c r="R129" t="e">
        <f t="shared" ca="1" si="20"/>
        <v>#NAME?</v>
      </c>
      <c r="S129">
        <v>123.10385995106635</v>
      </c>
      <c r="T129">
        <v>119.15141328984016</v>
      </c>
      <c r="U129">
        <v>0</v>
      </c>
      <c r="V129" t="e">
        <f>0.33*#REF!+0.67*#REF!</f>
        <v>#REF!</v>
      </c>
      <c r="W129">
        <v>0</v>
      </c>
    </row>
    <row r="130" spans="2:23">
      <c r="B130">
        <v>132.25</v>
      </c>
      <c r="C130">
        <v>129.5</v>
      </c>
      <c r="D130" s="7">
        <f t="shared" si="10"/>
        <v>130.875</v>
      </c>
      <c r="E130" s="23">
        <v>-0.79981511906053404</v>
      </c>
      <c r="F130" s="25">
        <v>0.52204774598159298</v>
      </c>
      <c r="G130" s="11">
        <f t="shared" si="11"/>
        <v>-56.867092497683068</v>
      </c>
      <c r="H130" s="11">
        <f t="shared" si="12"/>
        <v>1</v>
      </c>
      <c r="I130" s="35">
        <f t="shared" si="13"/>
        <v>0.5</v>
      </c>
      <c r="J130" s="35">
        <f t="shared" si="14"/>
        <v>0.5</v>
      </c>
      <c r="K130" s="35">
        <f t="shared" si="15"/>
        <v>0.5</v>
      </c>
      <c r="L130" s="39">
        <f t="shared" si="16"/>
        <v>126.98943201028584</v>
      </c>
      <c r="M130" s="35">
        <f t="shared" si="17"/>
        <v>121.10304366115524</v>
      </c>
      <c r="N130" s="6" t="e">
        <f ca="1"/>
        <v>#NAME?</v>
      </c>
      <c r="O130" s="6" t="e">
        <f ca="1"/>
        <v>#NAME?</v>
      </c>
      <c r="P130" t="e">
        <f t="shared" ca="1" si="18"/>
        <v>#NAME?</v>
      </c>
      <c r="Q130" t="e">
        <f t="shared" ca="1" si="19"/>
        <v>#NAME?</v>
      </c>
      <c r="R130" t="e">
        <f t="shared" ca="1" si="20"/>
        <v>#NAME?</v>
      </c>
      <c r="S130">
        <v>126.98942997553317</v>
      </c>
      <c r="T130">
        <v>121.11091746126343</v>
      </c>
      <c r="U130">
        <v>0</v>
      </c>
      <c r="V130" t="e">
        <f>0.33*#REF!+0.67*#REF!</f>
        <v>#REF!</v>
      </c>
      <c r="W130">
        <v>0</v>
      </c>
    </row>
    <row r="131" spans="2:23">
      <c r="B131">
        <v>133.88</v>
      </c>
      <c r="C131">
        <v>130.81</v>
      </c>
      <c r="D131" s="7">
        <f t="shared" si="10"/>
        <v>132.345</v>
      </c>
      <c r="E131" s="23">
        <v>0.62894469491497396</v>
      </c>
      <c r="F131" s="25">
        <v>0.425699188901555</v>
      </c>
      <c r="G131" s="11">
        <f t="shared" si="11"/>
        <v>55.908020134252652</v>
      </c>
      <c r="H131" s="11">
        <f t="shared" si="12"/>
        <v>1</v>
      </c>
      <c r="I131" s="35">
        <f t="shared" si="13"/>
        <v>0.5</v>
      </c>
      <c r="J131" s="35">
        <f t="shared" si="14"/>
        <v>0.5</v>
      </c>
      <c r="K131" s="35">
        <f t="shared" si="15"/>
        <v>0.5</v>
      </c>
      <c r="L131" s="39">
        <f t="shared" si="16"/>
        <v>129.6672160051429</v>
      </c>
      <c r="M131" s="35">
        <f t="shared" si="17"/>
        <v>123.24408674715215</v>
      </c>
      <c r="N131" s="6" t="e">
        <f ca="1"/>
        <v>#NAME?</v>
      </c>
      <c r="O131" s="6" t="e">
        <f ca="1"/>
        <v>#NAME?</v>
      </c>
      <c r="P131" t="e">
        <f t="shared" ca="1" si="18"/>
        <v>#NAME?</v>
      </c>
      <c r="Q131" t="e">
        <f t="shared" ca="1" si="19"/>
        <v>#NAME?</v>
      </c>
      <c r="R131" t="e">
        <f t="shared" ca="1" si="20"/>
        <v>#NAME?</v>
      </c>
      <c r="S131">
        <v>129.66721498776658</v>
      </c>
      <c r="T131">
        <v>123.24999184288922</v>
      </c>
      <c r="U131">
        <v>0</v>
      </c>
      <c r="V131" t="e">
        <f>0.33*#REF!+0.67*#REF!</f>
        <v>#REF!</v>
      </c>
      <c r="W131">
        <v>0</v>
      </c>
    </row>
    <row r="132" spans="2:23">
      <c r="B132">
        <v>133.5</v>
      </c>
      <c r="C132">
        <v>130.63</v>
      </c>
      <c r="D132" s="7">
        <f t="shared" si="10"/>
        <v>132.065</v>
      </c>
      <c r="E132" s="23">
        <v>4.0802162391266004</v>
      </c>
      <c r="F132" s="25">
        <v>0.73768886852083504</v>
      </c>
      <c r="G132" s="11">
        <f t="shared" si="11"/>
        <v>79.75182781821681</v>
      </c>
      <c r="H132" s="11">
        <f t="shared" si="12"/>
        <v>1</v>
      </c>
      <c r="I132" s="35">
        <f t="shared" si="13"/>
        <v>0.5</v>
      </c>
      <c r="J132" s="35">
        <f t="shared" si="14"/>
        <v>0.5</v>
      </c>
      <c r="K132" s="35">
        <f t="shared" si="15"/>
        <v>0.5</v>
      </c>
      <c r="L132" s="39">
        <f t="shared" si="16"/>
        <v>130.86610800257145</v>
      </c>
      <c r="M132" s="35">
        <f t="shared" si="17"/>
        <v>125.14959206100698</v>
      </c>
      <c r="N132" s="6" t="e">
        <f ca="1"/>
        <v>#NAME?</v>
      </c>
      <c r="O132" s="6" t="e">
        <f ca="1"/>
        <v>#NAME?</v>
      </c>
      <c r="P132" t="e">
        <f t="shared" ca="1" si="18"/>
        <v>#NAME?</v>
      </c>
      <c r="Q132" t="e">
        <f t="shared" ca="1" si="19"/>
        <v>#NAME?</v>
      </c>
      <c r="R132" t="e">
        <f t="shared" ca="1" si="20"/>
        <v>#NAME?</v>
      </c>
      <c r="S132">
        <v>130.86610749388331</v>
      </c>
      <c r="T132">
        <v>125.15402075563773</v>
      </c>
      <c r="U132">
        <v>0</v>
      </c>
      <c r="V132" t="e">
        <f>0.33*#REF!+0.67*#REF!</f>
        <v>#REF!</v>
      </c>
      <c r="W132">
        <v>0</v>
      </c>
    </row>
    <row r="133" spans="2:23">
      <c r="B133">
        <v>135.5</v>
      </c>
      <c r="C133">
        <v>132.13</v>
      </c>
      <c r="D133" s="7">
        <f t="shared" si="10"/>
        <v>133.815</v>
      </c>
      <c r="E133" s="23">
        <v>6.3340447537748599</v>
      </c>
      <c r="F133" s="25">
        <v>3.2457605730768302</v>
      </c>
      <c r="G133" s="11">
        <f t="shared" si="11"/>
        <v>62.86799374167169</v>
      </c>
      <c r="H133" s="11">
        <f t="shared" si="12"/>
        <v>16.883834076545121</v>
      </c>
      <c r="I133" s="35">
        <f t="shared" si="13"/>
        <v>2.9614126609701513E-2</v>
      </c>
      <c r="J133" s="35">
        <f t="shared" si="14"/>
        <v>0.05</v>
      </c>
      <c r="K133" s="35">
        <f t="shared" si="15"/>
        <v>0.05</v>
      </c>
      <c r="L133" s="39">
        <f t="shared" si="16"/>
        <v>131.01355260244287</v>
      </c>
      <c r="M133" s="35">
        <f t="shared" si="17"/>
        <v>125.29619107454289</v>
      </c>
      <c r="N133" s="6" t="e">
        <f ca="1"/>
        <v>#NAME?</v>
      </c>
      <c r="O133" s="6" t="e">
        <f ca="1"/>
        <v>#NAME?</v>
      </c>
      <c r="P133" t="e">
        <f t="shared" ca="1" si="18"/>
        <v>#NAME?</v>
      </c>
      <c r="Q133" t="e">
        <f t="shared" ca="1" si="19"/>
        <v>#NAME?</v>
      </c>
      <c r="R133" t="e">
        <f t="shared" ca="1" si="20"/>
        <v>#NAME?</v>
      </c>
      <c r="S133">
        <v>131.01355211918914</v>
      </c>
      <c r="T133">
        <v>125.30050903972652</v>
      </c>
      <c r="U133">
        <v>0</v>
      </c>
      <c r="V133" t="e">
        <f>0.33*#REF!+0.67*#REF!</f>
        <v>#REF!</v>
      </c>
      <c r="W133">
        <v>0</v>
      </c>
    </row>
    <row r="134" spans="2:23">
      <c r="B134">
        <v>137.44</v>
      </c>
      <c r="C134">
        <v>133.88</v>
      </c>
      <c r="D134" s="7">
        <f t="shared" ref="D134:D197" si="21">(B134+C134)/2</f>
        <v>135.66</v>
      </c>
      <c r="E134" s="23">
        <v>3.7866927527037202</v>
      </c>
      <c r="F134" s="25">
        <v>5.3160183015264604</v>
      </c>
      <c r="G134" s="11">
        <f t="shared" si="11"/>
        <v>35.462935169455839</v>
      </c>
      <c r="H134" s="11">
        <f t="shared" si="12"/>
        <v>27.40505857221585</v>
      </c>
      <c r="I134" s="35">
        <f t="shared" si="13"/>
        <v>1.8244806836753724E-2</v>
      </c>
      <c r="J134" s="35">
        <f t="shared" si="14"/>
        <v>0.05</v>
      </c>
      <c r="K134" s="35">
        <f t="shared" si="15"/>
        <v>0.05</v>
      </c>
      <c r="L134" s="39">
        <f t="shared" si="16"/>
        <v>131.24587497232071</v>
      </c>
      <c r="M134" s="35">
        <f t="shared" si="17"/>
        <v>125.44493317198733</v>
      </c>
      <c r="N134" s="6" t="e">
        <f ca="1"/>
        <v>#NAME?</v>
      </c>
      <c r="O134" s="6" t="e">
        <f ca="1"/>
        <v>#NAME?</v>
      </c>
      <c r="P134" t="e">
        <f t="shared" ca="1" si="18"/>
        <v>#NAME?</v>
      </c>
      <c r="Q134" t="e">
        <f t="shared" ca="1" si="19"/>
        <v>#NAME?</v>
      </c>
      <c r="R134" t="e">
        <f t="shared" ca="1" si="20"/>
        <v>#NAME?</v>
      </c>
      <c r="S134">
        <v>131.24587451322967</v>
      </c>
      <c r="T134">
        <v>125.44914317656409</v>
      </c>
      <c r="U134">
        <v>0</v>
      </c>
      <c r="V134" t="e">
        <f>0.33*#REF!+0.67*#REF!</f>
        <v>#REF!</v>
      </c>
      <c r="W134">
        <v>0</v>
      </c>
    </row>
    <row r="135" spans="2:23">
      <c r="B135">
        <v>138.69</v>
      </c>
      <c r="C135">
        <v>135.38</v>
      </c>
      <c r="D135" s="7">
        <f t="shared" si="21"/>
        <v>137.035</v>
      </c>
      <c r="E135" s="23">
        <v>1.2936561911823601</v>
      </c>
      <c r="F135" s="25">
        <v>5.6380698494261496</v>
      </c>
      <c r="G135" s="11">
        <f t="shared" si="11"/>
        <v>12.922841781159292</v>
      </c>
      <c r="H135" s="11">
        <f t="shared" si="12"/>
        <v>22.540093388296548</v>
      </c>
      <c r="I135" s="35">
        <f t="shared" si="13"/>
        <v>2.2182694250043086E-2</v>
      </c>
      <c r="J135" s="35">
        <f t="shared" si="14"/>
        <v>0.05</v>
      </c>
      <c r="K135" s="35">
        <f t="shared" si="15"/>
        <v>0.05</v>
      </c>
      <c r="L135" s="39">
        <f t="shared" si="16"/>
        <v>131.53533122370467</v>
      </c>
      <c r="M135" s="35">
        <f t="shared" si="17"/>
        <v>125.59719312328025</v>
      </c>
      <c r="N135" s="6" t="e">
        <f ca="1"/>
        <v>#NAME?</v>
      </c>
      <c r="O135" s="6" t="e">
        <f ca="1"/>
        <v>#NAME?</v>
      </c>
      <c r="P135" t="e">
        <f t="shared" ca="1" si="18"/>
        <v>#NAME?</v>
      </c>
      <c r="Q135" t="e">
        <f t="shared" ca="1" si="19"/>
        <v>#NAME?</v>
      </c>
      <c r="R135" t="e">
        <f t="shared" ca="1" si="20"/>
        <v>#NAME?</v>
      </c>
      <c r="S135">
        <v>131.53533078756817</v>
      </c>
      <c r="T135">
        <v>125.60129786683919</v>
      </c>
      <c r="U135">
        <v>0</v>
      </c>
      <c r="V135" t="e">
        <f>0.33*#REF!+0.67*#REF!</f>
        <v>#REF!</v>
      </c>
      <c r="W135">
        <v>0</v>
      </c>
    </row>
    <row r="136" spans="2:23">
      <c r="B136">
        <v>139.19</v>
      </c>
      <c r="C136">
        <v>135.75</v>
      </c>
      <c r="D136" s="7">
        <f t="shared" si="21"/>
        <v>137.47</v>
      </c>
      <c r="E136" s="23">
        <v>-0.97790960691234796</v>
      </c>
      <c r="F136" s="25">
        <v>5.76402925082688</v>
      </c>
      <c r="G136" s="11">
        <f t="shared" si="11"/>
        <v>-9.6289601747961235</v>
      </c>
      <c r="H136" s="11">
        <f t="shared" si="12"/>
        <v>22.551801955955415</v>
      </c>
      <c r="I136" s="35">
        <f t="shared" si="13"/>
        <v>2.2171177317738083E-2</v>
      </c>
      <c r="J136" s="35">
        <f t="shared" si="14"/>
        <v>0.05</v>
      </c>
      <c r="K136" s="35">
        <f t="shared" si="15"/>
        <v>0.05</v>
      </c>
      <c r="L136" s="39">
        <f t="shared" si="16"/>
        <v>131.83206466251943</v>
      </c>
      <c r="M136" s="35">
        <f t="shared" si="17"/>
        <v>125.75306491176123</v>
      </c>
      <c r="N136" s="6" t="e">
        <f ca="1"/>
        <v>#NAME?</v>
      </c>
      <c r="O136" s="6" t="e">
        <f ca="1"/>
        <v>#NAME?</v>
      </c>
      <c r="P136" t="e">
        <f t="shared" ca="1" si="18"/>
        <v>#NAME?</v>
      </c>
      <c r="Q136" t="e">
        <f t="shared" ca="1" si="19"/>
        <v>#NAME?</v>
      </c>
      <c r="R136" t="e">
        <f t="shared" ca="1" si="20"/>
        <v>#NAME?</v>
      </c>
      <c r="S136">
        <v>131.83206424818977</v>
      </c>
      <c r="T136">
        <v>125.75706702637295</v>
      </c>
      <c r="U136">
        <v>0</v>
      </c>
      <c r="V136" t="e">
        <f>0.33*#REF!+0.67*#REF!</f>
        <v>#REF!</v>
      </c>
      <c r="W136">
        <v>0</v>
      </c>
    </row>
    <row r="137" spans="2:23">
      <c r="B137">
        <v>138.5</v>
      </c>
      <c r="C137">
        <v>136.19</v>
      </c>
      <c r="D137" s="7">
        <f t="shared" si="21"/>
        <v>137.345</v>
      </c>
      <c r="E137" s="23">
        <v>-2.47329790913507</v>
      </c>
      <c r="F137" s="25">
        <v>4.6386673760300301</v>
      </c>
      <c r="G137" s="11">
        <f t="shared" si="11"/>
        <v>-28.06615871127395</v>
      </c>
      <c r="H137" s="11">
        <f t="shared" si="12"/>
        <v>18.437198536477826</v>
      </c>
      <c r="I137" s="35">
        <f t="shared" si="13"/>
        <v>2.7119087480169758E-2</v>
      </c>
      <c r="J137" s="35">
        <f t="shared" si="14"/>
        <v>0.05</v>
      </c>
      <c r="K137" s="35">
        <f t="shared" si="15"/>
        <v>0.05</v>
      </c>
      <c r="L137" s="39">
        <f t="shared" si="16"/>
        <v>132.10771142939345</v>
      </c>
      <c r="M137" s="35">
        <f t="shared" si="17"/>
        <v>125.91193107470203</v>
      </c>
      <c r="N137" s="6" t="e">
        <f ca="1"/>
        <v>#NAME?</v>
      </c>
      <c r="O137" s="6" t="e">
        <f ca="1"/>
        <v>#NAME?</v>
      </c>
      <c r="P137" t="e">
        <f t="shared" ca="1" si="18"/>
        <v>#NAME?</v>
      </c>
      <c r="Q137" t="e">
        <f t="shared" ca="1" si="19"/>
        <v>#NAME?</v>
      </c>
      <c r="R137" t="e">
        <f t="shared" ca="1" si="20"/>
        <v>#NAME?</v>
      </c>
      <c r="S137">
        <v>132.10771103578028</v>
      </c>
      <c r="T137">
        <v>125.91583312660813</v>
      </c>
      <c r="U137">
        <v>0</v>
      </c>
      <c r="V137" t="e">
        <f>0.33*#REF!+0.67*#REF!</f>
        <v>#REF!</v>
      </c>
      <c r="W137">
        <v>0</v>
      </c>
    </row>
    <row r="138" spans="2:23">
      <c r="B138">
        <v>138.13</v>
      </c>
      <c r="C138">
        <v>134.5</v>
      </c>
      <c r="D138" s="7">
        <f t="shared" si="21"/>
        <v>136.315</v>
      </c>
      <c r="E138" s="23">
        <v>0.375762491738102</v>
      </c>
      <c r="F138" s="25">
        <v>4.01638552492388</v>
      </c>
      <c r="G138" s="11">
        <f t="shared" si="11"/>
        <v>5.3448844750973095</v>
      </c>
      <c r="H138" s="11">
        <f t="shared" si="12"/>
        <v>1</v>
      </c>
      <c r="I138" s="35">
        <f t="shared" si="13"/>
        <v>0.5</v>
      </c>
      <c r="J138" s="35">
        <f t="shared" si="14"/>
        <v>0.5</v>
      </c>
      <c r="K138" s="35">
        <f t="shared" si="15"/>
        <v>0.5</v>
      </c>
      <c r="L138" s="39">
        <f t="shared" si="16"/>
        <v>134.21135571469671</v>
      </c>
      <c r="M138" s="35">
        <f t="shared" si="17"/>
        <v>127.9867872347007</v>
      </c>
      <c r="N138" s="6" t="e">
        <f ca="1"/>
        <v>#NAME?</v>
      </c>
      <c r="O138" s="6" t="e">
        <f ca="1"/>
        <v>#NAME?</v>
      </c>
      <c r="P138" t="e">
        <f t="shared" ca="1" si="18"/>
        <v>#NAME?</v>
      </c>
      <c r="Q138" t="e">
        <f t="shared" ca="1" si="19"/>
        <v>#NAME?</v>
      </c>
      <c r="R138" t="e">
        <f t="shared" ca="1" si="20"/>
        <v>#NAME?</v>
      </c>
      <c r="S138">
        <v>134.21135551789013</v>
      </c>
      <c r="T138">
        <v>127.98971372442863</v>
      </c>
      <c r="U138">
        <v>0</v>
      </c>
      <c r="V138" t="e">
        <f>0.33*#REF!+0.67*#REF!</f>
        <v>#REF!</v>
      </c>
      <c r="W138">
        <v>0</v>
      </c>
    </row>
    <row r="139" spans="2:23">
      <c r="B139">
        <v>137.5</v>
      </c>
      <c r="C139">
        <v>135.38</v>
      </c>
      <c r="D139" s="7">
        <f t="shared" si="21"/>
        <v>136.44</v>
      </c>
      <c r="E139" s="23">
        <v>1.45138327471354</v>
      </c>
      <c r="F139" s="25">
        <v>5.04836196196446</v>
      </c>
      <c r="G139" s="11">
        <f t="shared" si="11"/>
        <v>16.039725373062826</v>
      </c>
      <c r="H139" s="11">
        <f t="shared" si="12"/>
        <v>1</v>
      </c>
      <c r="I139" s="35">
        <f t="shared" si="13"/>
        <v>0.5</v>
      </c>
      <c r="J139" s="35">
        <f t="shared" si="14"/>
        <v>0.5</v>
      </c>
      <c r="K139" s="35">
        <f t="shared" si="15"/>
        <v>0.5</v>
      </c>
      <c r="L139" s="39">
        <f t="shared" si="16"/>
        <v>135.32567785734835</v>
      </c>
      <c r="M139" s="35">
        <f t="shared" si="17"/>
        <v>129.82150989036262</v>
      </c>
      <c r="N139" s="6" t="e">
        <f ca="1"/>
        <v>#NAME?</v>
      </c>
      <c r="O139" s="6" t="e">
        <f ca="1"/>
        <v>#NAME?</v>
      </c>
      <c r="P139" t="e">
        <f t="shared" ca="1" si="18"/>
        <v>#NAME?</v>
      </c>
      <c r="Q139" t="e">
        <f t="shared" ca="1" si="19"/>
        <v>#NAME?</v>
      </c>
      <c r="R139" t="e">
        <f t="shared" ca="1" si="20"/>
        <v>#NAME?</v>
      </c>
      <c r="S139">
        <v>135.32567775894506</v>
      </c>
      <c r="T139">
        <v>129.82370473305775</v>
      </c>
      <c r="U139">
        <v>0</v>
      </c>
      <c r="V139" t="e">
        <f>0.33*#REF!+0.67*#REF!</f>
        <v>#REF!</v>
      </c>
      <c r="W139">
        <v>0</v>
      </c>
    </row>
    <row r="140" spans="2:23">
      <c r="B140">
        <v>138.88</v>
      </c>
      <c r="C140">
        <v>133.69</v>
      </c>
      <c r="D140" s="7">
        <f t="shared" si="21"/>
        <v>136.285</v>
      </c>
      <c r="E140" s="23">
        <v>-1.2208721704948</v>
      </c>
      <c r="F140" s="25">
        <v>5.4864399280582203</v>
      </c>
      <c r="G140" s="11">
        <f t="shared" si="11"/>
        <v>-12.545359316057231</v>
      </c>
      <c r="H140" s="11">
        <f t="shared" si="12"/>
        <v>28.585084689120059</v>
      </c>
      <c r="I140" s="35">
        <f t="shared" si="13"/>
        <v>1.7491639623873775E-2</v>
      </c>
      <c r="J140" s="35">
        <f t="shared" si="14"/>
        <v>0.05</v>
      </c>
      <c r="K140" s="35">
        <f t="shared" si="15"/>
        <v>0.05</v>
      </c>
      <c r="L140" s="39">
        <f t="shared" si="16"/>
        <v>135.37364396448092</v>
      </c>
      <c r="M140" s="35">
        <f t="shared" si="17"/>
        <v>129.96031324221559</v>
      </c>
      <c r="N140" s="6" t="e">
        <f ca="1"/>
        <v>#NAME?</v>
      </c>
      <c r="O140" s="6" t="e">
        <f ca="1"/>
        <v>#NAME?</v>
      </c>
      <c r="P140" t="e">
        <f t="shared" ca="1" si="18"/>
        <v>#NAME?</v>
      </c>
      <c r="Q140" t="e">
        <f t="shared" ca="1" si="19"/>
        <v>#NAME?</v>
      </c>
      <c r="R140" t="e">
        <f t="shared" ca="1" si="20"/>
        <v>#NAME?</v>
      </c>
      <c r="S140">
        <v>135.3736438709978</v>
      </c>
      <c r="T140">
        <v>129.96245321150624</v>
      </c>
      <c r="U140">
        <v>0</v>
      </c>
      <c r="V140" t="e">
        <f>0.33*#REF!+0.67*#REF!</f>
        <v>#REF!</v>
      </c>
      <c r="W140">
        <v>0</v>
      </c>
    </row>
    <row r="141" spans="2:23">
      <c r="B141">
        <v>132.13</v>
      </c>
      <c r="C141">
        <v>126.06</v>
      </c>
      <c r="D141" s="7">
        <f t="shared" si="21"/>
        <v>129.095</v>
      </c>
      <c r="E141" s="23">
        <v>-4.6045148975926598</v>
      </c>
      <c r="F141" s="25">
        <v>4.7945029548795599</v>
      </c>
      <c r="G141" s="11">
        <f t="shared" si="11"/>
        <v>-43.842003302452909</v>
      </c>
      <c r="H141" s="11">
        <f t="shared" si="12"/>
        <v>31.296643986395679</v>
      </c>
      <c r="I141" s="35">
        <f t="shared" si="13"/>
        <v>1.5976153871876637E-2</v>
      </c>
      <c r="J141" s="35">
        <f t="shared" si="14"/>
        <v>0.05</v>
      </c>
      <c r="K141" s="35">
        <f t="shared" si="15"/>
        <v>0.05</v>
      </c>
      <c r="L141" s="39">
        <f t="shared" si="16"/>
        <v>135.05971176625687</v>
      </c>
      <c r="M141" s="35">
        <f t="shared" si="17"/>
        <v>130.08779820531663</v>
      </c>
      <c r="N141" s="6" t="e">
        <f ca="1"/>
        <v>#NAME?</v>
      </c>
      <c r="O141" s="6" t="e">
        <f ca="1"/>
        <v>#NAME?</v>
      </c>
      <c r="P141" t="e">
        <f t="shared" ca="1" si="18"/>
        <v>#NAME?</v>
      </c>
      <c r="Q141" t="e">
        <f t="shared" ca="1" si="19"/>
        <v>#NAME?</v>
      </c>
      <c r="R141" t="e">
        <f t="shared" ca="1" si="20"/>
        <v>#NAME?</v>
      </c>
      <c r="S141">
        <v>135.05971167744789</v>
      </c>
      <c r="T141">
        <v>130.08988467315478</v>
      </c>
      <c r="U141">
        <v>0</v>
      </c>
      <c r="V141" t="e">
        <f>0.33*#REF!+0.67*#REF!</f>
        <v>#REF!</v>
      </c>
      <c r="W141">
        <v>0</v>
      </c>
    </row>
    <row r="142" spans="2:23">
      <c r="B142">
        <v>129.75</v>
      </c>
      <c r="C142">
        <v>126.87</v>
      </c>
      <c r="D142" s="7">
        <f t="shared" si="21"/>
        <v>128.31</v>
      </c>
      <c r="E142" s="23">
        <v>-7.6075451851309097</v>
      </c>
      <c r="F142" s="25">
        <v>3.23344271391578</v>
      </c>
      <c r="G142" s="11">
        <f t="shared" si="11"/>
        <v>-66.973002452146275</v>
      </c>
      <c r="H142" s="11">
        <f t="shared" si="12"/>
        <v>23.130999149693366</v>
      </c>
      <c r="I142" s="35">
        <f t="shared" si="13"/>
        <v>2.1616013937151013E-2</v>
      </c>
      <c r="J142" s="35">
        <f t="shared" si="14"/>
        <v>0.05</v>
      </c>
      <c r="K142" s="35">
        <f t="shared" si="15"/>
        <v>0.05</v>
      </c>
      <c r="L142" s="39">
        <f t="shared" si="16"/>
        <v>134.72222617794404</v>
      </c>
      <c r="M142" s="35">
        <f t="shared" si="17"/>
        <v>130.20365890463231</v>
      </c>
      <c r="N142" s="6" t="e">
        <f ca="1"/>
        <v>#NAME?</v>
      </c>
      <c r="O142" s="6" t="e">
        <f ca="1"/>
        <v>#NAME?</v>
      </c>
      <c r="P142" t="e">
        <f t="shared" ca="1" si="18"/>
        <v>#NAME?</v>
      </c>
      <c r="Q142" t="e">
        <f t="shared" ca="1" si="19"/>
        <v>#NAME?</v>
      </c>
      <c r="R142" t="e">
        <f t="shared" ca="1" si="20"/>
        <v>#NAME?</v>
      </c>
      <c r="S142">
        <v>134.7222260935755</v>
      </c>
      <c r="T142">
        <v>130.20569320866531</v>
      </c>
      <c r="U142">
        <v>0</v>
      </c>
      <c r="V142" t="e">
        <f>0.33*#REF!+0.67*#REF!</f>
        <v>#REF!</v>
      </c>
      <c r="W142">
        <v>0</v>
      </c>
    </row>
    <row r="143" spans="2:23">
      <c r="B143">
        <v>128.5</v>
      </c>
      <c r="C143">
        <v>123.5</v>
      </c>
      <c r="D143" s="7">
        <f t="shared" si="21"/>
        <v>126</v>
      </c>
      <c r="E143" s="23">
        <v>-10.226115513808899</v>
      </c>
      <c r="F143" s="25">
        <v>1.01448232640165</v>
      </c>
      <c r="G143" s="11">
        <f t="shared" si="11"/>
        <v>-84.33450657790884</v>
      </c>
      <c r="H143" s="11">
        <f t="shared" si="12"/>
        <v>17.361504125762565</v>
      </c>
      <c r="I143" s="35">
        <f t="shared" si="13"/>
        <v>2.8799348050613596E-2</v>
      </c>
      <c r="J143" s="35">
        <f t="shared" si="14"/>
        <v>0.05</v>
      </c>
      <c r="K143" s="35">
        <f t="shared" si="15"/>
        <v>0.05</v>
      </c>
      <c r="L143" s="39">
        <f t="shared" si="16"/>
        <v>134.28611486904683</v>
      </c>
      <c r="M143" s="35">
        <f t="shared" si="17"/>
        <v>130.30572030374265</v>
      </c>
      <c r="N143" s="6" t="e">
        <f ca="1"/>
        <v>#NAME?</v>
      </c>
      <c r="O143" s="6" t="e">
        <f ca="1"/>
        <v>#NAME?</v>
      </c>
      <c r="P143" t="e">
        <f t="shared" ca="1" si="18"/>
        <v>#NAME?</v>
      </c>
      <c r="Q143" t="e">
        <f t="shared" ca="1" si="19"/>
        <v>#NAME?</v>
      </c>
      <c r="R143" t="e">
        <f t="shared" ca="1" si="20"/>
        <v>#NAME?</v>
      </c>
      <c r="S143">
        <v>134.28611478889673</v>
      </c>
      <c r="T143">
        <v>130.30770374817109</v>
      </c>
      <c r="U143">
        <v>0</v>
      </c>
      <c r="V143" t="e">
        <f>0.33*#REF!+0.67*#REF!</f>
        <v>#REF!</v>
      </c>
      <c r="W143">
        <v>0</v>
      </c>
    </row>
    <row r="144" spans="2:23">
      <c r="B144">
        <v>125.44</v>
      </c>
      <c r="C144">
        <v>122.62</v>
      </c>
      <c r="D144" s="7">
        <f t="shared" si="21"/>
        <v>124.03</v>
      </c>
      <c r="E144" s="23">
        <v>-9.2950047086483103</v>
      </c>
      <c r="F144" s="25">
        <v>-1.1883116131131</v>
      </c>
      <c r="G144" s="11">
        <f t="shared" si="11"/>
        <v>82.714591670003145</v>
      </c>
      <c r="H144" s="11">
        <f t="shared" si="12"/>
        <v>1</v>
      </c>
      <c r="I144" s="35">
        <f t="shared" si="13"/>
        <v>0.5</v>
      </c>
      <c r="J144" s="35">
        <f t="shared" si="14"/>
        <v>0.5</v>
      </c>
      <c r="K144" s="35">
        <f t="shared" si="15"/>
        <v>0.5</v>
      </c>
      <c r="L144" s="39">
        <f t="shared" si="16"/>
        <v>129.15805743452341</v>
      </c>
      <c r="M144" s="35">
        <f t="shared" si="17"/>
        <v>130.01880458643785</v>
      </c>
      <c r="N144" s="6" t="e">
        <f ca="1"/>
        <v>#NAME?</v>
      </c>
      <c r="O144" s="6" t="e">
        <f ca="1"/>
        <v>#NAME?</v>
      </c>
      <c r="P144" t="e">
        <f t="shared" ca="1" si="18"/>
        <v>#NAME?</v>
      </c>
      <c r="Q144" t="e">
        <f t="shared" ca="1" si="19"/>
        <v>#NAME?</v>
      </c>
      <c r="R144" t="e">
        <f t="shared" ca="1" si="20"/>
        <v>#NAME?</v>
      </c>
      <c r="S144">
        <v>129.15805739444835</v>
      </c>
      <c r="T144">
        <v>130.02029215974039</v>
      </c>
      <c r="U144">
        <v>0</v>
      </c>
      <c r="V144" t="e">
        <f>0.33*#REF!+0.67*#REF!</f>
        <v>#REF!</v>
      </c>
      <c r="W144">
        <v>0</v>
      </c>
    </row>
    <row r="145" spans="2:23">
      <c r="B145">
        <v>125.12</v>
      </c>
      <c r="C145">
        <v>122.75</v>
      </c>
      <c r="D145" s="7">
        <f t="shared" si="21"/>
        <v>123.935</v>
      </c>
      <c r="E145" s="23">
        <v>-13.796793690764201</v>
      </c>
      <c r="F145" s="25">
        <v>-2.17783352530626</v>
      </c>
      <c r="G145" s="11">
        <f t="shared" ref="G145:G208" si="22">IF(F145&lt;&gt;0,DEGREES(ATAN(E145/F145)),0)</f>
        <v>81.029835220686621</v>
      </c>
      <c r="H145" s="11">
        <f t="shared" si="12"/>
        <v>1.6847564493165237</v>
      </c>
      <c r="I145" s="35">
        <f t="shared" si="13"/>
        <v>0.29677880159048586</v>
      </c>
      <c r="J145" s="35">
        <f t="shared" si="14"/>
        <v>0.29677880159048586</v>
      </c>
      <c r="K145" s="35">
        <f t="shared" si="15"/>
        <v>0.29677880159048586</v>
      </c>
      <c r="L145" s="39">
        <f t="shared" si="16"/>
        <v>127.60796470846728</v>
      </c>
      <c r="M145" s="35">
        <f t="shared" si="17"/>
        <v>129.66106150153254</v>
      </c>
      <c r="N145" s="6" t="e">
        <f ca="1"/>
        <v>#NAME?</v>
      </c>
      <c r="O145" s="6" t="e">
        <f ca="1"/>
        <v>#NAME?</v>
      </c>
      <c r="P145" t="e">
        <f t="shared" ca="1" si="18"/>
        <v>#NAME?</v>
      </c>
      <c r="Q145" t="e">
        <f t="shared" ca="1" si="19"/>
        <v>#NAME?</v>
      </c>
      <c r="R145" t="e">
        <f t="shared" ca="1" si="20"/>
        <v>#NAME?</v>
      </c>
      <c r="S145">
        <v>127.6080756167502</v>
      </c>
      <c r="T145">
        <v>129.66237040978308</v>
      </c>
      <c r="U145">
        <v>0</v>
      </c>
      <c r="V145" t="e">
        <f>0.33*#REF!+0.67*#REF!</f>
        <v>#REF!</v>
      </c>
      <c r="W145">
        <v>0</v>
      </c>
    </row>
    <row r="146" spans="2:23">
      <c r="B146">
        <v>126.5</v>
      </c>
      <c r="C146">
        <v>123.56</v>
      </c>
      <c r="D146" s="7">
        <f t="shared" si="21"/>
        <v>125.03</v>
      </c>
      <c r="E146" s="23">
        <v>-18.583259293149901</v>
      </c>
      <c r="F146" s="25">
        <v>-7.3450440684820304</v>
      </c>
      <c r="G146" s="11">
        <f t="shared" si="22"/>
        <v>68.433561563243202</v>
      </c>
      <c r="H146" s="11">
        <f t="shared" ref="H146:H209" si="23">IF( (G145-G146) &lt; 1, 1, (G145-G146))</f>
        <v>12.596273657443419</v>
      </c>
      <c r="I146" s="35">
        <f t="shared" si="13"/>
        <v>3.9694278927049104E-2</v>
      </c>
      <c r="J146" s="35">
        <f t="shared" si="14"/>
        <v>0.05</v>
      </c>
      <c r="K146" s="35">
        <f t="shared" si="15"/>
        <v>0.05</v>
      </c>
      <c r="L146" s="39">
        <f t="shared" si="16"/>
        <v>127.4790664730439</v>
      </c>
      <c r="M146" s="35">
        <f t="shared" si="17"/>
        <v>129.60651162582033</v>
      </c>
      <c r="N146" s="6" t="e">
        <f ca="1"/>
        <v>#NAME?</v>
      </c>
      <c r="O146" s="6" t="e">
        <f ca="1"/>
        <v>#NAME?</v>
      </c>
      <c r="P146" t="e">
        <f t="shared" ca="1" si="18"/>
        <v>#NAME?</v>
      </c>
      <c r="Q146" t="e">
        <f t="shared" ca="1" si="19"/>
        <v>#NAME?</v>
      </c>
      <c r="R146" t="e">
        <f t="shared" ca="1" si="20"/>
        <v>#NAME?</v>
      </c>
      <c r="S146">
        <v>127.47917183591269</v>
      </c>
      <c r="T146">
        <v>129.60779044543631</v>
      </c>
      <c r="U146">
        <v>0</v>
      </c>
      <c r="V146" t="e">
        <f>0.33*#REF!+0.67*#REF!</f>
        <v>#REF!</v>
      </c>
      <c r="W146">
        <v>0</v>
      </c>
    </row>
    <row r="147" spans="2:23">
      <c r="B147">
        <v>128.69</v>
      </c>
      <c r="C147">
        <v>125.81</v>
      </c>
      <c r="D147" s="7">
        <f t="shared" si="21"/>
        <v>127.25</v>
      </c>
      <c r="E147" s="23">
        <v>-8.2047258569042594</v>
      </c>
      <c r="F147" s="25">
        <v>-11.504177671151201</v>
      </c>
      <c r="G147" s="11">
        <f t="shared" si="22"/>
        <v>35.496288477249372</v>
      </c>
      <c r="H147" s="11">
        <f t="shared" si="23"/>
        <v>32.93727308599383</v>
      </c>
      <c r="I147" s="35">
        <f t="shared" si="13"/>
        <v>1.518037023570779E-2</v>
      </c>
      <c r="J147" s="35">
        <f t="shared" si="14"/>
        <v>0.05</v>
      </c>
      <c r="K147" s="35">
        <f t="shared" si="15"/>
        <v>0.05</v>
      </c>
      <c r="L147" s="39">
        <f t="shared" si="16"/>
        <v>127.4676131493917</v>
      </c>
      <c r="M147" s="35">
        <f t="shared" si="17"/>
        <v>129.5530391639096</v>
      </c>
      <c r="N147" s="6" t="e">
        <f ca="1"/>
        <v>#NAME?</v>
      </c>
      <c r="O147" s="6" t="e">
        <f ca="1"/>
        <v>#NAME?</v>
      </c>
      <c r="P147" t="e">
        <f t="shared" ca="1" si="18"/>
        <v>#NAME?</v>
      </c>
      <c r="Q147" t="e">
        <f t="shared" ca="1" si="19"/>
        <v>#NAME?</v>
      </c>
      <c r="R147" t="e">
        <f t="shared" ca="1" si="20"/>
        <v>#NAME?</v>
      </c>
      <c r="S147">
        <v>127.46771324411705</v>
      </c>
      <c r="T147">
        <v>129.55428851540333</v>
      </c>
      <c r="U147">
        <v>0</v>
      </c>
      <c r="V147" t="e">
        <f>0.33*#REF!+0.67*#REF!</f>
        <v>#REF!</v>
      </c>
      <c r="W147">
        <v>0</v>
      </c>
    </row>
    <row r="148" spans="2:23">
      <c r="B148">
        <v>126.62</v>
      </c>
      <c r="C148">
        <v>124.62</v>
      </c>
      <c r="D148" s="7">
        <f t="shared" si="21"/>
        <v>125.62</v>
      </c>
      <c r="E148" s="23">
        <v>-0.109398379500126</v>
      </c>
      <c r="F148" s="25">
        <v>-11.3721718901381</v>
      </c>
      <c r="G148" s="11">
        <f t="shared" si="22"/>
        <v>0.55115875409393777</v>
      </c>
      <c r="H148" s="11">
        <f t="shared" si="23"/>
        <v>34.945129723155432</v>
      </c>
      <c r="I148" s="35">
        <f t="shared" si="13"/>
        <v>1.4308145482965219E-2</v>
      </c>
      <c r="J148" s="35">
        <f t="shared" si="14"/>
        <v>0.05</v>
      </c>
      <c r="K148" s="35">
        <f t="shared" si="15"/>
        <v>0.05</v>
      </c>
      <c r="L148" s="39">
        <f t="shared" si="16"/>
        <v>127.37523249192211</v>
      </c>
      <c r="M148" s="35">
        <f t="shared" si="17"/>
        <v>129.49859399710991</v>
      </c>
      <c r="N148" s="6" t="e">
        <f ca="1"/>
        <v>#NAME?</v>
      </c>
      <c r="O148" s="6" t="e">
        <f ca="1"/>
        <v>#NAME?</v>
      </c>
      <c r="P148" t="e">
        <f t="shared" ca="1" si="18"/>
        <v>#NAME?</v>
      </c>
      <c r="Q148" t="e">
        <f t="shared" ca="1" si="19"/>
        <v>#NAME?</v>
      </c>
      <c r="R148" t="e">
        <f t="shared" ca="1" si="20"/>
        <v>#NAME?</v>
      </c>
      <c r="S148">
        <v>127.37532758191119</v>
      </c>
      <c r="T148">
        <v>129.49981449206604</v>
      </c>
      <c r="U148">
        <v>0</v>
      </c>
      <c r="V148" t="e">
        <f>0.33*#REF!+0.67*#REF!</f>
        <v>#REF!</v>
      </c>
      <c r="W148">
        <v>0</v>
      </c>
    </row>
    <row r="149" spans="2:23">
      <c r="B149">
        <v>126.69</v>
      </c>
      <c r="C149">
        <v>124.37</v>
      </c>
      <c r="D149" s="7">
        <f t="shared" si="21"/>
        <v>125.53</v>
      </c>
      <c r="E149" s="23">
        <v>8.4549848795148996</v>
      </c>
      <c r="F149" s="25">
        <v>-11.3355915978459</v>
      </c>
      <c r="G149" s="11">
        <f t="shared" si="22"/>
        <v>-36.718501048166381</v>
      </c>
      <c r="H149" s="11">
        <f t="shared" si="23"/>
        <v>37.269659802260321</v>
      </c>
      <c r="I149" s="35">
        <f t="shared" si="13"/>
        <v>1.3415738234607554E-2</v>
      </c>
      <c r="J149" s="35">
        <f t="shared" si="14"/>
        <v>0.05</v>
      </c>
      <c r="K149" s="35">
        <f t="shared" si="15"/>
        <v>0.05</v>
      </c>
      <c r="L149" s="39">
        <f t="shared" si="16"/>
        <v>127.282970867326</v>
      </c>
      <c r="M149" s="35">
        <f t="shared" si="17"/>
        <v>129.44320341886532</v>
      </c>
      <c r="N149" s="6" t="e">
        <f ca="1"/>
        <v>#NAME?</v>
      </c>
      <c r="O149" s="6" t="e">
        <f ca="1"/>
        <v>#NAME?</v>
      </c>
      <c r="P149" t="e">
        <f t="shared" ca="1" si="18"/>
        <v>#NAME?</v>
      </c>
      <c r="Q149" t="e">
        <f t="shared" ca="1" si="19"/>
        <v>#NAME?</v>
      </c>
      <c r="R149" t="e">
        <f t="shared" ca="1" si="20"/>
        <v>#NAME?</v>
      </c>
      <c r="S149">
        <v>127.28306120281563</v>
      </c>
      <c r="T149">
        <v>129.44439565983478</v>
      </c>
      <c r="U149">
        <v>0</v>
      </c>
      <c r="V149" t="e">
        <f>0.33*#REF!+0.67*#REF!</f>
        <v>#REF!</v>
      </c>
      <c r="W149">
        <v>0</v>
      </c>
    </row>
    <row r="150" spans="2:23">
      <c r="B150">
        <v>126</v>
      </c>
      <c r="C150">
        <v>121.81</v>
      </c>
      <c r="D150" s="7">
        <f t="shared" si="21"/>
        <v>123.905</v>
      </c>
      <c r="E150" s="23">
        <v>16.5608264652377</v>
      </c>
      <c r="F150" s="25">
        <v>-7.7462097429977597</v>
      </c>
      <c r="G150" s="11">
        <f t="shared" si="22"/>
        <v>-64.932489102473255</v>
      </c>
      <c r="H150" s="11">
        <f t="shared" si="23"/>
        <v>28.213988054306874</v>
      </c>
      <c r="I150" s="35">
        <f t="shared" si="13"/>
        <v>1.7721705950877614E-2</v>
      </c>
      <c r="J150" s="35">
        <f t="shared" si="14"/>
        <v>0.05</v>
      </c>
      <c r="K150" s="35">
        <f t="shared" si="15"/>
        <v>0.05</v>
      </c>
      <c r="L150" s="39">
        <f t="shared" si="16"/>
        <v>127.11407232395969</v>
      </c>
      <c r="M150" s="35">
        <f t="shared" si="17"/>
        <v>129.38497514149267</v>
      </c>
      <c r="N150" s="6" t="e">
        <f ca="1"/>
        <v>#NAME?</v>
      </c>
      <c r="O150" s="6" t="e">
        <f ca="1"/>
        <v>#NAME?</v>
      </c>
      <c r="P150" t="e">
        <f t="shared" ca="1" si="18"/>
        <v>#NAME?</v>
      </c>
      <c r="Q150" t="e">
        <f t="shared" ca="1" si="19"/>
        <v>#NAME?</v>
      </c>
      <c r="R150" t="e">
        <f t="shared" ca="1" si="20"/>
        <v>#NAME?</v>
      </c>
      <c r="S150">
        <v>127.11415814267484</v>
      </c>
      <c r="T150">
        <v>129.38613972190578</v>
      </c>
      <c r="U150">
        <v>0</v>
      </c>
      <c r="V150" t="e">
        <f>0.33*#REF!+0.67*#REF!</f>
        <v>#REF!</v>
      </c>
      <c r="W150">
        <v>0</v>
      </c>
    </row>
    <row r="151" spans="2:23">
      <c r="B151">
        <v>123.12</v>
      </c>
      <c r="C151">
        <v>118.19</v>
      </c>
      <c r="D151" s="7">
        <f t="shared" si="21"/>
        <v>120.655</v>
      </c>
      <c r="E151" s="23">
        <v>16.1619937173412</v>
      </c>
      <c r="F151" s="25">
        <v>-3.59743510589196</v>
      </c>
      <c r="G151" s="11">
        <f t="shared" si="22"/>
        <v>-77.451326423180063</v>
      </c>
      <c r="H151" s="11">
        <f t="shared" si="23"/>
        <v>12.518837320706808</v>
      </c>
      <c r="I151" s="35">
        <f t="shared" si="13"/>
        <v>3.9939811277280038E-2</v>
      </c>
      <c r="J151" s="35">
        <f t="shared" si="14"/>
        <v>0.05</v>
      </c>
      <c r="K151" s="35">
        <f t="shared" si="15"/>
        <v>0.05</v>
      </c>
      <c r="L151" s="39">
        <f t="shared" si="16"/>
        <v>126.79111870776171</v>
      </c>
      <c r="M151" s="35">
        <f t="shared" si="17"/>
        <v>129.3201287306494</v>
      </c>
      <c r="N151" s="6" t="e">
        <f ca="1"/>
        <v>#NAME?</v>
      </c>
      <c r="O151" s="6" t="e">
        <f ca="1"/>
        <v>#NAME?</v>
      </c>
      <c r="P151" t="e">
        <f t="shared" ca="1" si="18"/>
        <v>#NAME?</v>
      </c>
      <c r="Q151" t="e">
        <f t="shared" ca="1" si="19"/>
        <v>#NAME?</v>
      </c>
      <c r="R151" t="e">
        <f t="shared" ca="1" si="20"/>
        <v>#NAME?</v>
      </c>
      <c r="S151">
        <v>126.79120023554108</v>
      </c>
      <c r="T151">
        <v>129.32126623474667</v>
      </c>
      <c r="U151">
        <v>0</v>
      </c>
      <c r="V151" t="e">
        <f>0.33*#REF!+0.67*#REF!</f>
        <v>#REF!</v>
      </c>
      <c r="W151">
        <v>0</v>
      </c>
    </row>
    <row r="152" spans="2:23">
      <c r="B152">
        <v>121.87</v>
      </c>
      <c r="C152">
        <v>118.06</v>
      </c>
      <c r="D152" s="7">
        <f t="shared" si="21"/>
        <v>119.965</v>
      </c>
      <c r="E152" s="23">
        <v>10.372170733547501</v>
      </c>
      <c r="F152" s="25">
        <v>0.63099850070441899</v>
      </c>
      <c r="G152" s="11">
        <f t="shared" si="22"/>
        <v>86.51866042070084</v>
      </c>
      <c r="H152" s="11">
        <f t="shared" si="23"/>
        <v>1</v>
      </c>
      <c r="I152" s="35">
        <f t="shared" si="13"/>
        <v>0.5</v>
      </c>
      <c r="J152" s="35">
        <f t="shared" si="14"/>
        <v>0.5</v>
      </c>
      <c r="K152" s="35">
        <f t="shared" si="15"/>
        <v>0.5</v>
      </c>
      <c r="L152" s="39">
        <f t="shared" si="16"/>
        <v>123.37805935388086</v>
      </c>
      <c r="M152" s="35">
        <f t="shared" si="17"/>
        <v>127.83461138645727</v>
      </c>
      <c r="N152" s="6" t="e">
        <f ca="1"/>
        <v>#NAME?</v>
      </c>
      <c r="O152" s="6" t="e">
        <f ca="1"/>
        <v>#NAME?</v>
      </c>
      <c r="P152" t="e">
        <f t="shared" ca="1" si="18"/>
        <v>#NAME?</v>
      </c>
      <c r="Q152" t="e">
        <f t="shared" ca="1" si="19"/>
        <v>#NAME?</v>
      </c>
      <c r="R152" t="e">
        <f t="shared" ca="1" si="20"/>
        <v>#NAME?</v>
      </c>
      <c r="S152">
        <v>123.37810011777054</v>
      </c>
      <c r="T152">
        <v>127.83547470550265</v>
      </c>
      <c r="U152">
        <v>0</v>
      </c>
      <c r="V152" t="e">
        <f>0.33*#REF!+0.67*#REF!</f>
        <v>#REF!</v>
      </c>
      <c r="W152">
        <v>0</v>
      </c>
    </row>
    <row r="153" spans="2:23">
      <c r="B153">
        <v>124</v>
      </c>
      <c r="C153">
        <v>117.56</v>
      </c>
      <c r="D153" s="7">
        <f t="shared" si="21"/>
        <v>120.78</v>
      </c>
      <c r="E153" s="23">
        <v>-0.32334635818226798</v>
      </c>
      <c r="F153" s="25">
        <v>1.78300604444141</v>
      </c>
      <c r="G153" s="11">
        <f t="shared" si="22"/>
        <v>-10.278822257345023</v>
      </c>
      <c r="H153" s="11">
        <f t="shared" si="23"/>
        <v>96.797482678045867</v>
      </c>
      <c r="I153" s="35">
        <f t="shared" si="13"/>
        <v>5.1654235850639779E-3</v>
      </c>
      <c r="J153" s="35">
        <f t="shared" si="14"/>
        <v>0.05</v>
      </c>
      <c r="K153" s="35">
        <f t="shared" si="15"/>
        <v>0.05</v>
      </c>
      <c r="L153" s="39">
        <f t="shared" si="16"/>
        <v>123.24815638618681</v>
      </c>
      <c r="M153" s="35">
        <f t="shared" si="17"/>
        <v>127.71995001145051</v>
      </c>
      <c r="N153" s="6" t="e">
        <f ca="1"/>
        <v>#NAME?</v>
      </c>
      <c r="O153" s="6" t="e">
        <f ca="1"/>
        <v>#NAME?</v>
      </c>
      <c r="P153" t="e">
        <f t="shared" ca="1" si="18"/>
        <v>#NAME?</v>
      </c>
      <c r="Q153" t="e">
        <f t="shared" ca="1" si="19"/>
        <v>#NAME?</v>
      </c>
      <c r="R153" t="e">
        <f t="shared" ca="1" si="20"/>
        <v>#NAME?</v>
      </c>
      <c r="S153">
        <v>123.24819511188201</v>
      </c>
      <c r="T153">
        <v>127.72079271566213</v>
      </c>
      <c r="U153">
        <v>0</v>
      </c>
      <c r="V153" t="e">
        <f>0.33*#REF!+0.67*#REF!</f>
        <v>#REF!</v>
      </c>
      <c r="W153">
        <v>0</v>
      </c>
    </row>
    <row r="154" spans="2:23">
      <c r="B154">
        <v>127</v>
      </c>
      <c r="C154">
        <v>121</v>
      </c>
      <c r="D154" s="7">
        <f t="shared" si="21"/>
        <v>124</v>
      </c>
      <c r="E154" s="23">
        <v>-5.6054590354091598</v>
      </c>
      <c r="F154" s="25">
        <v>-5.2848741954319697E-2</v>
      </c>
      <c r="G154" s="11">
        <f t="shared" si="22"/>
        <v>89.459826548813197</v>
      </c>
      <c r="H154" s="11">
        <f t="shared" si="23"/>
        <v>1</v>
      </c>
      <c r="I154" s="35">
        <f t="shared" si="13"/>
        <v>0.5</v>
      </c>
      <c r="J154" s="35">
        <f t="shared" si="14"/>
        <v>0.5</v>
      </c>
      <c r="K154" s="35">
        <f t="shared" si="15"/>
        <v>0.5</v>
      </c>
      <c r="L154" s="39">
        <f t="shared" si="16"/>
        <v>123.6240781930934</v>
      </c>
      <c r="M154" s="35">
        <f t="shared" si="17"/>
        <v>126.69598205686123</v>
      </c>
      <c r="N154" s="6" t="e">
        <f ca="1"/>
        <v>#NAME?</v>
      </c>
      <c r="O154" s="6" t="e">
        <f ca="1"/>
        <v>#NAME?</v>
      </c>
      <c r="P154" t="e">
        <f t="shared" ca="1" si="18"/>
        <v>#NAME?</v>
      </c>
      <c r="Q154" t="e">
        <f t="shared" ca="1" si="19"/>
        <v>#NAME?</v>
      </c>
      <c r="R154" t="e">
        <f t="shared" ca="1" si="20"/>
        <v>#NAME?</v>
      </c>
      <c r="S154">
        <v>123.62409755594101</v>
      </c>
      <c r="T154">
        <v>126.69661892573185</v>
      </c>
      <c r="U154">
        <v>0</v>
      </c>
      <c r="V154" t="e">
        <f>0.33*#REF!+0.67*#REF!</f>
        <v>#REF!</v>
      </c>
      <c r="W154">
        <v>0</v>
      </c>
    </row>
    <row r="155" spans="2:23">
      <c r="B155">
        <v>124.44</v>
      </c>
      <c r="C155">
        <v>121.12</v>
      </c>
      <c r="D155" s="7">
        <f t="shared" si="21"/>
        <v>122.78</v>
      </c>
      <c r="E155" s="23">
        <v>-7.9099212683014102</v>
      </c>
      <c r="F155" s="25">
        <v>-1.8884527125783599</v>
      </c>
      <c r="G155" s="11">
        <f t="shared" si="22"/>
        <v>76.572285908928535</v>
      </c>
      <c r="H155" s="11">
        <f t="shared" si="23"/>
        <v>12.887540639884662</v>
      </c>
      <c r="I155" s="35">
        <f t="shared" si="13"/>
        <v>3.8797161845805422E-2</v>
      </c>
      <c r="J155" s="35">
        <f t="shared" si="14"/>
        <v>0.05</v>
      </c>
      <c r="K155" s="35">
        <f t="shared" si="15"/>
        <v>0.05</v>
      </c>
      <c r="L155" s="39">
        <f t="shared" si="16"/>
        <v>123.58187428343872</v>
      </c>
      <c r="M155" s="35">
        <f t="shared" si="17"/>
        <v>126.61812936252565</v>
      </c>
      <c r="N155" s="6" t="e">
        <f ca="1"/>
        <v>#NAME?</v>
      </c>
      <c r="O155" s="6" t="e">
        <f ca="1"/>
        <v>#NAME?</v>
      </c>
      <c r="P155" t="e">
        <f t="shared" ca="1" si="18"/>
        <v>#NAME?</v>
      </c>
      <c r="Q155" t="e">
        <f t="shared" ca="1" si="19"/>
        <v>#NAME?</v>
      </c>
      <c r="R155" t="e">
        <f t="shared" ca="1" si="20"/>
        <v>#NAME?</v>
      </c>
      <c r="S155">
        <v>123.58189267814394</v>
      </c>
      <c r="T155">
        <v>126.61875076954216</v>
      </c>
      <c r="U155">
        <v>0</v>
      </c>
      <c r="V155" t="e">
        <f>0.33*#REF!+0.67*#REF!</f>
        <v>#REF!</v>
      </c>
      <c r="W155">
        <v>0</v>
      </c>
    </row>
    <row r="156" spans="2:23">
      <c r="B156">
        <v>122.5</v>
      </c>
      <c r="C156">
        <v>118.94</v>
      </c>
      <c r="D156" s="7">
        <f t="shared" si="21"/>
        <v>120.72</v>
      </c>
      <c r="E156" s="23">
        <v>-5.8739400171159604</v>
      </c>
      <c r="F156" s="25">
        <v>-5.0160214626666901</v>
      </c>
      <c r="G156" s="11">
        <f t="shared" si="22"/>
        <v>49.504496863581664</v>
      </c>
      <c r="H156" s="11">
        <f t="shared" si="23"/>
        <v>27.067789045346871</v>
      </c>
      <c r="I156" s="35">
        <f t="shared" si="13"/>
        <v>1.8472140416136176E-2</v>
      </c>
      <c r="J156" s="35">
        <f t="shared" si="14"/>
        <v>0.05</v>
      </c>
      <c r="K156" s="35">
        <f t="shared" si="15"/>
        <v>0.05</v>
      </c>
      <c r="L156" s="39">
        <f t="shared" si="16"/>
        <v>123.43878056926678</v>
      </c>
      <c r="M156" s="35">
        <f t="shared" si="17"/>
        <v>126.53864564269416</v>
      </c>
      <c r="N156" s="6" t="e">
        <f ca="1"/>
        <v>#NAME?</v>
      </c>
      <c r="O156" s="6" t="e">
        <f ca="1"/>
        <v>#NAME?</v>
      </c>
      <c r="P156" t="e">
        <f t="shared" ca="1" si="18"/>
        <v>#NAME?</v>
      </c>
      <c r="Q156" t="e">
        <f t="shared" ca="1" si="19"/>
        <v>#NAME?</v>
      </c>
      <c r="R156" t="e">
        <f t="shared" ca="1" si="20"/>
        <v>#NAME?</v>
      </c>
      <c r="S156">
        <v>123.43879804423675</v>
      </c>
      <c r="T156">
        <v>126.53925195140953</v>
      </c>
      <c r="U156">
        <v>0</v>
      </c>
      <c r="V156" t="e">
        <f>0.33*#REF!+0.67*#REF!</f>
        <v>#REF!</v>
      </c>
      <c r="W156">
        <v>0</v>
      </c>
    </row>
    <row r="157" spans="2:23">
      <c r="B157">
        <v>123.75</v>
      </c>
      <c r="C157">
        <v>119.81</v>
      </c>
      <c r="D157" s="7">
        <f t="shared" si="21"/>
        <v>121.78</v>
      </c>
      <c r="E157" s="23">
        <v>1.9333539786423899</v>
      </c>
      <c r="F157" s="25">
        <v>-5.83347695100713</v>
      </c>
      <c r="G157" s="11">
        <f t="shared" si="22"/>
        <v>-18.336432889649263</v>
      </c>
      <c r="H157" s="11">
        <f t="shared" si="23"/>
        <v>67.840929753230924</v>
      </c>
      <c r="I157" s="35">
        <f t="shared" si="13"/>
        <v>7.3701820098682758E-3</v>
      </c>
      <c r="J157" s="35">
        <f t="shared" si="14"/>
        <v>0.05</v>
      </c>
      <c r="K157" s="35">
        <f t="shared" si="15"/>
        <v>0.05</v>
      </c>
      <c r="L157" s="39">
        <f t="shared" si="16"/>
        <v>123.35584154080344</v>
      </c>
      <c r="M157" s="35">
        <f t="shared" si="17"/>
        <v>126.45907554014688</v>
      </c>
      <c r="N157" s="6" t="e">
        <f ca="1"/>
        <v>#NAME?</v>
      </c>
      <c r="O157" s="6" t="e">
        <f ca="1"/>
        <v>#NAME?</v>
      </c>
      <c r="P157" t="e">
        <f t="shared" ca="1" si="18"/>
        <v>#NAME?</v>
      </c>
      <c r="Q157" t="e">
        <f t="shared" ca="1" si="19"/>
        <v>#NAME?</v>
      </c>
      <c r="R157" t="e">
        <f t="shared" ca="1" si="20"/>
        <v>#NAME?</v>
      </c>
      <c r="S157">
        <v>123.3558581420249</v>
      </c>
      <c r="T157">
        <v>126.4596671061749</v>
      </c>
      <c r="U157">
        <v>0</v>
      </c>
      <c r="V157" t="e">
        <f>0.33*#REF!+0.67*#REF!</f>
        <v>#REF!</v>
      </c>
      <c r="W157">
        <v>0</v>
      </c>
    </row>
    <row r="158" spans="2:23">
      <c r="B158">
        <v>123.81</v>
      </c>
      <c r="C158">
        <v>121</v>
      </c>
      <c r="D158" s="7">
        <f t="shared" si="21"/>
        <v>122.405</v>
      </c>
      <c r="E158" s="23">
        <v>8.0739440827452906</v>
      </c>
      <c r="F158" s="25">
        <v>-3.9292619924817598</v>
      </c>
      <c r="G158" s="11">
        <f t="shared" si="22"/>
        <v>-64.049686906394257</v>
      </c>
      <c r="H158" s="11">
        <f t="shared" si="23"/>
        <v>45.713254016744997</v>
      </c>
      <c r="I158" s="35">
        <f t="shared" si="13"/>
        <v>1.0937746847267697E-2</v>
      </c>
      <c r="J158" s="35">
        <f t="shared" si="14"/>
        <v>0.05</v>
      </c>
      <c r="K158" s="35">
        <f t="shared" si="15"/>
        <v>0.05</v>
      </c>
      <c r="L158" s="39">
        <f t="shared" si="16"/>
        <v>123.30829946376326</v>
      </c>
      <c r="M158" s="35">
        <f t="shared" si="17"/>
        <v>126.3803061382373</v>
      </c>
      <c r="N158" s="6" t="e">
        <f ca="1"/>
        <v>#NAME?</v>
      </c>
      <c r="O158" s="6" t="e">
        <f ca="1"/>
        <v>#NAME?</v>
      </c>
      <c r="P158" t="e">
        <f t="shared" ca="1" si="18"/>
        <v>#NAME?</v>
      </c>
      <c r="Q158" t="e">
        <f t="shared" ca="1" si="19"/>
        <v>#NAME?</v>
      </c>
      <c r="R158" t="e">
        <f t="shared" ca="1" si="20"/>
        <v>#NAME?</v>
      </c>
      <c r="S158">
        <v>123.30831523492365</v>
      </c>
      <c r="T158">
        <v>126.38088330939361</v>
      </c>
      <c r="U158">
        <v>0</v>
      </c>
      <c r="V158" t="e">
        <f>0.33*#REF!+0.67*#REF!</f>
        <v>#REF!</v>
      </c>
      <c r="W158">
        <v>0</v>
      </c>
    </row>
    <row r="159" spans="2:23">
      <c r="B159">
        <v>124.5</v>
      </c>
      <c r="C159">
        <v>122</v>
      </c>
      <c r="D159" s="7">
        <f t="shared" si="21"/>
        <v>123.25</v>
      </c>
      <c r="E159" s="23">
        <v>8.8862534194940093</v>
      </c>
      <c r="F159" s="25">
        <v>-0.186839895775361</v>
      </c>
      <c r="G159" s="11">
        <f t="shared" si="22"/>
        <v>-88.795492332594534</v>
      </c>
      <c r="H159" s="11">
        <f t="shared" si="23"/>
        <v>24.745805426200278</v>
      </c>
      <c r="I159" s="35">
        <f t="shared" ref="I159:I222" si="24">$B$1/H159</f>
        <v>2.0205444574885881E-2</v>
      </c>
      <c r="J159" s="35">
        <f t="shared" ref="J159:J222" si="25">IF(I159 &lt; $C$1, $C$1, I159 )</f>
        <v>0.05</v>
      </c>
      <c r="K159" s="35">
        <f t="shared" ref="K159:K222" si="26">IF(J159 &gt; $B$1, $B$1, J159 )</f>
        <v>0.05</v>
      </c>
      <c r="L159" s="39">
        <f t="shared" ref="L159:L222" si="27">K159*D159 + (1-K159)*L158</f>
        <v>123.30538449057509</v>
      </c>
      <c r="M159" s="35">
        <f t="shared" ref="M159:M222" si="28">0.5*K159*L159+(1-0.5*K159)*M158</f>
        <v>126.30343309704574</v>
      </c>
      <c r="N159" s="6" t="e">
        <f ca="1"/>
        <v>#NAME?</v>
      </c>
      <c r="O159" s="6" t="e">
        <f ca="1"/>
        <v>#NAME?</v>
      </c>
      <c r="P159" t="e">
        <f t="shared" ca="1" si="18"/>
        <v>#NAME?</v>
      </c>
      <c r="Q159" t="e">
        <f t="shared" ca="1" si="19"/>
        <v>#NAME?</v>
      </c>
      <c r="R159" t="e">
        <f t="shared" ca="1" si="20"/>
        <v>#NAME?</v>
      </c>
      <c r="S159">
        <v>123.30539947317746</v>
      </c>
      <c r="T159">
        <v>126.3039962134882</v>
      </c>
      <c r="U159">
        <v>0</v>
      </c>
      <c r="V159" t="e">
        <f>0.33*#REF!+0.67*#REF!</f>
        <v>#REF!</v>
      </c>
      <c r="W159">
        <v>0</v>
      </c>
    </row>
    <row r="160" spans="2:23">
      <c r="B160">
        <v>127.87</v>
      </c>
      <c r="C160">
        <v>124.5</v>
      </c>
      <c r="D160" s="7">
        <f t="shared" si="21"/>
        <v>126.185</v>
      </c>
      <c r="E160" s="23">
        <v>1.94119634927266</v>
      </c>
      <c r="F160" s="25">
        <v>1.95609155685989</v>
      </c>
      <c r="G160" s="11">
        <f t="shared" si="22"/>
        <v>44.781019931070013</v>
      </c>
      <c r="H160" s="11">
        <f t="shared" si="23"/>
        <v>1</v>
      </c>
      <c r="I160" s="35">
        <f t="shared" si="24"/>
        <v>0.5</v>
      </c>
      <c r="J160" s="35">
        <f t="shared" si="25"/>
        <v>0.5</v>
      </c>
      <c r="K160" s="35">
        <f t="shared" si="26"/>
        <v>0.5</v>
      </c>
      <c r="L160" s="39">
        <f t="shared" si="27"/>
        <v>124.74519224528754</v>
      </c>
      <c r="M160" s="35">
        <f t="shared" si="28"/>
        <v>125.91387288410618</v>
      </c>
      <c r="N160" s="6" t="e">
        <f ca="1"/>
        <v>#NAME?</v>
      </c>
      <c r="O160" s="6" t="e">
        <f ca="1"/>
        <v>#NAME?</v>
      </c>
      <c r="P160" t="e">
        <f t="shared" ca="1" si="18"/>
        <v>#NAME?</v>
      </c>
      <c r="Q160" t="e">
        <f t="shared" ca="1" si="19"/>
        <v>#NAME?</v>
      </c>
      <c r="R160" t="e">
        <f t="shared" ca="1" si="20"/>
        <v>#NAME?</v>
      </c>
      <c r="S160">
        <v>124.74519973658873</v>
      </c>
      <c r="T160">
        <v>125.91429709426335</v>
      </c>
      <c r="U160">
        <v>0</v>
      </c>
      <c r="V160" t="e">
        <f>0.33*#REF!+0.67*#REF!</f>
        <v>#REF!</v>
      </c>
      <c r="W160">
        <v>0</v>
      </c>
    </row>
    <row r="161" spans="2:23">
      <c r="B161">
        <v>128.56</v>
      </c>
      <c r="C161">
        <v>126.56</v>
      </c>
      <c r="D161" s="7">
        <f t="shared" si="21"/>
        <v>127.56</v>
      </c>
      <c r="E161" s="23">
        <v>-1.96480923617147</v>
      </c>
      <c r="F161" s="25">
        <v>0.234725134763271</v>
      </c>
      <c r="G161" s="11">
        <f t="shared" si="22"/>
        <v>-83.187469617345101</v>
      </c>
      <c r="H161" s="11">
        <f t="shared" si="23"/>
        <v>127.96848954841511</v>
      </c>
      <c r="I161" s="35">
        <f t="shared" si="24"/>
        <v>3.9072118594541344E-3</v>
      </c>
      <c r="J161" s="35">
        <f t="shared" si="25"/>
        <v>0.05</v>
      </c>
      <c r="K161" s="35">
        <f t="shared" si="26"/>
        <v>0.05</v>
      </c>
      <c r="L161" s="39">
        <f t="shared" si="27"/>
        <v>124.88593263302316</v>
      </c>
      <c r="M161" s="35">
        <f t="shared" si="28"/>
        <v>125.88817437782912</v>
      </c>
      <c r="N161" s="6" t="e">
        <f ca="1"/>
        <v>#NAME?</v>
      </c>
      <c r="O161" s="6" t="e">
        <f ca="1"/>
        <v>#NAME?</v>
      </c>
      <c r="P161" t="e">
        <f t="shared" ca="1" si="18"/>
        <v>#NAME?</v>
      </c>
      <c r="Q161" t="e">
        <f t="shared" ca="1" si="19"/>
        <v>#NAME?</v>
      </c>
      <c r="R161" t="e">
        <f t="shared" ca="1" si="20"/>
        <v>#NAME?</v>
      </c>
      <c r="S161">
        <v>124.88593974975929</v>
      </c>
      <c r="T161">
        <v>125.88858816065074</v>
      </c>
      <c r="U161">
        <v>0</v>
      </c>
      <c r="V161" t="e">
        <f>0.33*#REF!+0.67*#REF!</f>
        <v>#REF!</v>
      </c>
      <c r="W161">
        <v>0</v>
      </c>
    </row>
    <row r="162" spans="2:23">
      <c r="B162">
        <v>129.63</v>
      </c>
      <c r="C162">
        <v>123.5</v>
      </c>
      <c r="D162" s="7">
        <f t="shared" si="21"/>
        <v>126.565</v>
      </c>
      <c r="E162" s="23">
        <v>1.1650615521007599</v>
      </c>
      <c r="F162" s="25">
        <v>-0.41309798479992499</v>
      </c>
      <c r="G162" s="11">
        <f t="shared" si="22"/>
        <v>-70.476928234591341</v>
      </c>
      <c r="H162" s="11">
        <f t="shared" si="23"/>
        <v>1</v>
      </c>
      <c r="I162" s="35">
        <f t="shared" si="24"/>
        <v>0.5</v>
      </c>
      <c r="J162" s="35">
        <f t="shared" si="25"/>
        <v>0.5</v>
      </c>
      <c r="K162" s="35">
        <f t="shared" si="26"/>
        <v>0.5</v>
      </c>
      <c r="L162" s="39">
        <f t="shared" si="27"/>
        <v>125.72546631651159</v>
      </c>
      <c r="M162" s="35">
        <f t="shared" si="28"/>
        <v>125.84749736249974</v>
      </c>
      <c r="N162" s="6" t="e">
        <f ca="1"/>
        <v>#NAME?</v>
      </c>
      <c r="O162" s="6" t="e">
        <f ca="1"/>
        <v>#NAME?</v>
      </c>
      <c r="P162" t="e">
        <f t="shared" ca="1" si="18"/>
        <v>#NAME?</v>
      </c>
      <c r="Q162" t="e">
        <f t="shared" ca="1" si="19"/>
        <v>#NAME?</v>
      </c>
      <c r="R162" t="e">
        <f t="shared" ca="1" si="20"/>
        <v>#NAME?</v>
      </c>
      <c r="S162">
        <v>125.72546987487965</v>
      </c>
      <c r="T162">
        <v>125.84780858920797</v>
      </c>
      <c r="U162">
        <v>0</v>
      </c>
      <c r="V162" t="e">
        <f>0.33*#REF!+0.67*#REF!</f>
        <v>#REF!</v>
      </c>
      <c r="W162">
        <v>0</v>
      </c>
    </row>
    <row r="163" spans="2:23">
      <c r="B163">
        <v>124.87</v>
      </c>
      <c r="C163">
        <v>121.25</v>
      </c>
      <c r="D163" s="7">
        <f t="shared" si="21"/>
        <v>123.06</v>
      </c>
      <c r="E163" s="23">
        <v>3.3877659760005501</v>
      </c>
      <c r="F163" s="25">
        <v>0.38266963712110003</v>
      </c>
      <c r="G163" s="11">
        <f t="shared" si="22"/>
        <v>83.555395142086113</v>
      </c>
      <c r="H163" s="11">
        <f t="shared" si="23"/>
        <v>1</v>
      </c>
      <c r="I163" s="35">
        <f t="shared" si="24"/>
        <v>0.5</v>
      </c>
      <c r="J163" s="35">
        <f t="shared" si="25"/>
        <v>0.5</v>
      </c>
      <c r="K163" s="35">
        <f t="shared" si="26"/>
        <v>0.5</v>
      </c>
      <c r="L163" s="39">
        <f t="shared" si="27"/>
        <v>124.39273315825579</v>
      </c>
      <c r="M163" s="35">
        <f t="shared" si="28"/>
        <v>125.48380631143876</v>
      </c>
      <c r="N163" s="6" t="e">
        <f ca="1"/>
        <v>#NAME?</v>
      </c>
      <c r="O163" s="6" t="e">
        <f ca="1"/>
        <v>#NAME?</v>
      </c>
      <c r="P163" t="e">
        <f t="shared" ca="1" si="18"/>
        <v>#NAME?</v>
      </c>
      <c r="Q163" t="e">
        <f t="shared" ca="1" si="19"/>
        <v>#NAME?</v>
      </c>
      <c r="R163" t="e">
        <f t="shared" ca="1" si="20"/>
        <v>#NAME?</v>
      </c>
      <c r="S163">
        <v>124.39273493743983</v>
      </c>
      <c r="T163">
        <v>125.48404017626595</v>
      </c>
      <c r="U163">
        <v>0</v>
      </c>
      <c r="V163" t="e">
        <f>0.33*#REF!+0.67*#REF!</f>
        <v>#REF!</v>
      </c>
      <c r="W163">
        <v>0</v>
      </c>
    </row>
    <row r="164" spans="2:23">
      <c r="B164">
        <v>124.37</v>
      </c>
      <c r="C164">
        <v>121.06</v>
      </c>
      <c r="D164" s="7">
        <f t="shared" si="21"/>
        <v>122.715</v>
      </c>
      <c r="E164" s="23">
        <v>5.6177671278807297</v>
      </c>
      <c r="F164" s="25">
        <v>1.4986372386359299</v>
      </c>
      <c r="G164" s="11">
        <f t="shared" si="22"/>
        <v>75.063193509063495</v>
      </c>
      <c r="H164" s="11">
        <f t="shared" si="23"/>
        <v>8.4922016330226171</v>
      </c>
      <c r="I164" s="35">
        <f t="shared" si="24"/>
        <v>5.8877546907943085E-2</v>
      </c>
      <c r="J164" s="35">
        <f t="shared" si="25"/>
        <v>5.8877546907943085E-2</v>
      </c>
      <c r="K164" s="35">
        <f t="shared" si="26"/>
        <v>5.8877546907943085E-2</v>
      </c>
      <c r="L164" s="39">
        <f t="shared" si="27"/>
        <v>124.29395234553158</v>
      </c>
      <c r="M164" s="35">
        <f t="shared" si="28"/>
        <v>125.44877847009312</v>
      </c>
      <c r="N164" s="6" t="e">
        <f ca="1"/>
        <v>#NAME?</v>
      </c>
      <c r="O164" s="6" t="e">
        <f ca="1"/>
        <v>#NAME?</v>
      </c>
      <c r="P164" t="e">
        <f t="shared" ca="1" si="18"/>
        <v>#NAME?</v>
      </c>
      <c r="Q164" t="e">
        <f t="shared" ca="1" si="19"/>
        <v>#NAME?</v>
      </c>
      <c r="R164" t="e">
        <f t="shared" ca="1" si="20"/>
        <v>#NAME?</v>
      </c>
      <c r="S164">
        <v>124.29395490975327</v>
      </c>
      <c r="T164">
        <v>125.44900584129677</v>
      </c>
      <c r="U164">
        <v>0</v>
      </c>
      <c r="V164" t="e">
        <f>0.33*#REF!+0.67*#REF!</f>
        <v>#REF!</v>
      </c>
      <c r="W164">
        <v>0</v>
      </c>
    </row>
    <row r="165" spans="2:23">
      <c r="B165">
        <v>124.87</v>
      </c>
      <c r="C165">
        <v>122.31</v>
      </c>
      <c r="D165" s="7">
        <f t="shared" si="21"/>
        <v>123.59</v>
      </c>
      <c r="E165" s="23">
        <v>5.0663844910392797</v>
      </c>
      <c r="F165" s="25">
        <v>4.0215800526575398</v>
      </c>
      <c r="G165" s="11">
        <f t="shared" si="22"/>
        <v>51.558258248972017</v>
      </c>
      <c r="H165" s="11">
        <f t="shared" si="23"/>
        <v>23.504935260091479</v>
      </c>
      <c r="I165" s="35">
        <f t="shared" si="24"/>
        <v>2.1272128362290758E-2</v>
      </c>
      <c r="J165" s="35">
        <f t="shared" si="25"/>
        <v>0.05</v>
      </c>
      <c r="K165" s="35">
        <f t="shared" si="26"/>
        <v>0.05</v>
      </c>
      <c r="L165" s="39">
        <f t="shared" si="27"/>
        <v>124.258754728255</v>
      </c>
      <c r="M165" s="35">
        <f t="shared" si="28"/>
        <v>125.41902787654716</v>
      </c>
      <c r="N165" s="6" t="e">
        <f ca="1"/>
        <v>#NAME?</v>
      </c>
      <c r="O165" s="6" t="e">
        <f ca="1"/>
        <v>#NAME?</v>
      </c>
      <c r="P165" t="e">
        <f t="shared" ca="1" si="18"/>
        <v>#NAME?</v>
      </c>
      <c r="Q165" t="e">
        <f t="shared" ca="1" si="19"/>
        <v>#NAME?</v>
      </c>
      <c r="R165" t="e">
        <f t="shared" ca="1" si="20"/>
        <v>#NAME?</v>
      </c>
      <c r="S165">
        <v>124.2587571642656</v>
      </c>
      <c r="T165">
        <v>125.41924962437099</v>
      </c>
      <c r="U165">
        <v>0</v>
      </c>
      <c r="V165" t="e">
        <f>0.33*#REF!+0.67*#REF!</f>
        <v>#REF!</v>
      </c>
      <c r="W165">
        <v>0</v>
      </c>
    </row>
    <row r="166" spans="2:23">
      <c r="B166">
        <v>123.62</v>
      </c>
      <c r="C166">
        <v>121</v>
      </c>
      <c r="D166" s="7">
        <f t="shared" si="21"/>
        <v>122.31</v>
      </c>
      <c r="E166" s="23">
        <v>-1.3935530793867299</v>
      </c>
      <c r="F166" s="25">
        <v>5.3312319490861402</v>
      </c>
      <c r="G166" s="11">
        <f t="shared" si="22"/>
        <v>-14.649014141230392</v>
      </c>
      <c r="H166" s="11">
        <f t="shared" si="23"/>
        <v>66.207272390202405</v>
      </c>
      <c r="I166" s="35">
        <f t="shared" si="24"/>
        <v>7.5520404624612181E-3</v>
      </c>
      <c r="J166" s="35">
        <f t="shared" si="25"/>
        <v>0.05</v>
      </c>
      <c r="K166" s="35">
        <f t="shared" si="26"/>
        <v>0.05</v>
      </c>
      <c r="L166" s="39">
        <f t="shared" si="27"/>
        <v>124.16131699184224</v>
      </c>
      <c r="M166" s="35">
        <f t="shared" si="28"/>
        <v>125.38758510442953</v>
      </c>
      <c r="N166" s="6" t="e">
        <f ca="1"/>
        <v>#NAME?</v>
      </c>
      <c r="O166" s="6" t="e">
        <f ca="1"/>
        <v>#NAME?</v>
      </c>
      <c r="P166" t="e">
        <f t="shared" ref="P166:P229" ca="1" si="29">IF(ROUND(L166,7)&lt;&gt;ROUND(N166,7),1,0)</f>
        <v>#NAME?</v>
      </c>
      <c r="Q166" t="e">
        <f t="shared" ref="Q166:Q229" ca="1" si="30">IF(ROUND(M166,7)&lt;&gt;ROUND(O166,7),1,0)</f>
        <v>#NAME?</v>
      </c>
      <c r="R166" t="e">
        <f t="shared" ref="R166:R229" ca="1" si="31">SUM(P166:Q166)</f>
        <v>#NAME?</v>
      </c>
      <c r="S166">
        <v>124.16131930605232</v>
      </c>
      <c r="T166">
        <v>125.38780136641302</v>
      </c>
      <c r="U166">
        <v>0</v>
      </c>
      <c r="V166" t="e">
        <f>0.33*#REF!+0.67*#REF!</f>
        <v>#REF!</v>
      </c>
      <c r="W166">
        <v>0</v>
      </c>
    </row>
    <row r="167" spans="2:23">
      <c r="B167">
        <v>124.06</v>
      </c>
      <c r="C167">
        <v>120.87</v>
      </c>
      <c r="D167" s="7">
        <f t="shared" si="21"/>
        <v>122.465</v>
      </c>
      <c r="E167" s="23">
        <v>-8.8800287629159094</v>
      </c>
      <c r="F167" s="25">
        <v>3.6185258800457198</v>
      </c>
      <c r="G167" s="11">
        <f t="shared" si="22"/>
        <v>-67.82957935587136</v>
      </c>
      <c r="H167" s="11">
        <f t="shared" si="23"/>
        <v>53.180565214640964</v>
      </c>
      <c r="I167" s="35">
        <f t="shared" si="24"/>
        <v>9.4019309118276665E-3</v>
      </c>
      <c r="J167" s="35">
        <f t="shared" si="25"/>
        <v>0.05</v>
      </c>
      <c r="K167" s="35">
        <f t="shared" si="26"/>
        <v>0.05</v>
      </c>
      <c r="L167" s="39">
        <f t="shared" si="27"/>
        <v>124.07650114225012</v>
      </c>
      <c r="M167" s="35">
        <f t="shared" si="28"/>
        <v>125.35480800537505</v>
      </c>
      <c r="N167" s="6" t="e">
        <f ca="1"/>
        <v>#NAME?</v>
      </c>
      <c r="O167" s="6" t="e">
        <f ca="1"/>
        <v>#NAME?</v>
      </c>
      <c r="P167" t="e">
        <f t="shared" ca="1" si="29"/>
        <v>#NAME?</v>
      </c>
      <c r="Q167" t="e">
        <f t="shared" ca="1" si="30"/>
        <v>#NAME?</v>
      </c>
      <c r="R167" t="e">
        <f t="shared" ca="1" si="31"/>
        <v>#NAME?</v>
      </c>
      <c r="S167">
        <v>124.0765033407497</v>
      </c>
      <c r="T167">
        <v>125.35501891577142</v>
      </c>
      <c r="U167">
        <v>0</v>
      </c>
      <c r="V167" t="e">
        <f>0.33*#REF!+0.67*#REF!</f>
        <v>#REF!</v>
      </c>
      <c r="W167">
        <v>0</v>
      </c>
    </row>
    <row r="168" spans="2:23">
      <c r="B168">
        <v>125.87</v>
      </c>
      <c r="C168">
        <v>122.06</v>
      </c>
      <c r="D168" s="7">
        <f t="shared" si="21"/>
        <v>123.965</v>
      </c>
      <c r="E168" s="23">
        <v>-11.470992965950501</v>
      </c>
      <c r="F168" s="25">
        <v>-0.35289726892060902</v>
      </c>
      <c r="G168" s="11">
        <f t="shared" si="22"/>
        <v>88.237890223320264</v>
      </c>
      <c r="H168" s="11">
        <f t="shared" si="23"/>
        <v>1</v>
      </c>
      <c r="I168" s="35">
        <f t="shared" si="24"/>
        <v>0.5</v>
      </c>
      <c r="J168" s="35">
        <f t="shared" si="25"/>
        <v>0.5</v>
      </c>
      <c r="K168" s="35">
        <f t="shared" si="26"/>
        <v>0.5</v>
      </c>
      <c r="L168" s="39">
        <f t="shared" si="27"/>
        <v>124.02075057112506</v>
      </c>
      <c r="M168" s="35">
        <f t="shared" si="28"/>
        <v>125.02129364681255</v>
      </c>
      <c r="N168" s="6" t="e">
        <f ca="1"/>
        <v>#NAME?</v>
      </c>
      <c r="O168" s="6" t="e">
        <f ca="1"/>
        <v>#NAME?</v>
      </c>
      <c r="P168" t="e">
        <f t="shared" ca="1" si="29"/>
        <v>#NAME?</v>
      </c>
      <c r="Q168" t="e">
        <f t="shared" ca="1" si="30"/>
        <v>#NAME?</v>
      </c>
      <c r="R168" t="e">
        <f t="shared" ca="1" si="31"/>
        <v>#NAME?</v>
      </c>
      <c r="S168">
        <v>124.02075167037485</v>
      </c>
      <c r="T168">
        <v>125.02145210442228</v>
      </c>
      <c r="U168">
        <v>0</v>
      </c>
      <c r="V168" t="e">
        <f>0.33*#REF!+0.67*#REF!</f>
        <v>#REF!</v>
      </c>
      <c r="W168">
        <v>0</v>
      </c>
    </row>
    <row r="169" spans="2:23">
      <c r="B169">
        <v>125.19</v>
      </c>
      <c r="C169">
        <v>122.75</v>
      </c>
      <c r="D169" s="7">
        <f t="shared" si="21"/>
        <v>123.97</v>
      </c>
      <c r="E169" s="23">
        <v>-5.5311262488522104</v>
      </c>
      <c r="F169" s="25">
        <v>-3.4609323490446799</v>
      </c>
      <c r="G169" s="11">
        <f t="shared" si="22"/>
        <v>57.964990874173147</v>
      </c>
      <c r="H169" s="11">
        <f t="shared" si="23"/>
        <v>30.272899349147117</v>
      </c>
      <c r="I169" s="35">
        <f t="shared" si="24"/>
        <v>1.6516422633766875E-2</v>
      </c>
      <c r="J169" s="35">
        <f t="shared" si="25"/>
        <v>0.05</v>
      </c>
      <c r="K169" s="35">
        <f t="shared" si="26"/>
        <v>0.05</v>
      </c>
      <c r="L169" s="39">
        <f t="shared" si="27"/>
        <v>124.0182130425688</v>
      </c>
      <c r="M169" s="35">
        <f t="shared" si="28"/>
        <v>124.99621663170646</v>
      </c>
      <c r="N169" s="6" t="e">
        <f ca="1"/>
        <v>#NAME?</v>
      </c>
      <c r="O169" s="6" t="e">
        <f ca="1"/>
        <v>#NAME?</v>
      </c>
      <c r="P169" t="e">
        <f t="shared" ca="1" si="29"/>
        <v>#NAME?</v>
      </c>
      <c r="Q169" t="e">
        <f t="shared" ca="1" si="30"/>
        <v>#NAME?</v>
      </c>
      <c r="R169" t="e">
        <f t="shared" ca="1" si="31"/>
        <v>#NAME?</v>
      </c>
      <c r="S169">
        <v>124.01821408685609</v>
      </c>
      <c r="T169">
        <v>124.99637115398313</v>
      </c>
      <c r="U169">
        <v>0</v>
      </c>
      <c r="V169" t="e">
        <f>0.33*#REF!+0.67*#REF!</f>
        <v>#REF!</v>
      </c>
      <c r="W169">
        <v>0</v>
      </c>
    </row>
    <row r="170" spans="2:23">
      <c r="B170">
        <v>125.62</v>
      </c>
      <c r="C170">
        <v>122.69</v>
      </c>
      <c r="D170" s="7">
        <f t="shared" si="21"/>
        <v>124.155</v>
      </c>
      <c r="E170" s="23">
        <v>0.57559617315357703</v>
      </c>
      <c r="F170" s="25">
        <v>-3.18923020861632</v>
      </c>
      <c r="G170" s="11">
        <f t="shared" si="22"/>
        <v>-10.230678308825338</v>
      </c>
      <c r="H170" s="11">
        <f t="shared" si="23"/>
        <v>68.195669182998486</v>
      </c>
      <c r="I170" s="35">
        <f t="shared" si="24"/>
        <v>7.3318438837851078E-3</v>
      </c>
      <c r="J170" s="35">
        <f t="shared" si="25"/>
        <v>0.05</v>
      </c>
      <c r="K170" s="35">
        <f t="shared" si="26"/>
        <v>0.05</v>
      </c>
      <c r="L170" s="39">
        <f t="shared" si="27"/>
        <v>124.02505239044037</v>
      </c>
      <c r="M170" s="35">
        <f t="shared" si="28"/>
        <v>124.9719375256748</v>
      </c>
      <c r="N170" s="6" t="e">
        <f ca="1"/>
        <v>#NAME?</v>
      </c>
      <c r="O170" s="6" t="e">
        <f ca="1"/>
        <v>#NAME?</v>
      </c>
      <c r="P170" t="e">
        <f t="shared" ca="1" si="29"/>
        <v>#NAME?</v>
      </c>
      <c r="Q170" t="e">
        <f t="shared" ca="1" si="30"/>
        <v>#NAME?</v>
      </c>
      <c r="R170" t="e">
        <f t="shared" ca="1" si="31"/>
        <v>#NAME?</v>
      </c>
      <c r="S170">
        <v>124.02505338251329</v>
      </c>
      <c r="T170">
        <v>124.97208820969638</v>
      </c>
      <c r="U170">
        <v>0</v>
      </c>
      <c r="V170" t="e">
        <f>0.33*#REF!+0.67*#REF!</f>
        <v>#REF!</v>
      </c>
      <c r="W170">
        <v>0</v>
      </c>
    </row>
    <row r="171" spans="2:23">
      <c r="B171">
        <v>126</v>
      </c>
      <c r="C171">
        <v>122.87</v>
      </c>
      <c r="D171" s="7">
        <f t="shared" si="21"/>
        <v>124.435</v>
      </c>
      <c r="E171" s="23">
        <v>2.5284789740989599</v>
      </c>
      <c r="F171" s="25">
        <v>-2.4932584896594499</v>
      </c>
      <c r="G171" s="11">
        <f t="shared" si="22"/>
        <v>-45.401843393378783</v>
      </c>
      <c r="H171" s="11">
        <f t="shared" si="23"/>
        <v>35.171165084553444</v>
      </c>
      <c r="I171" s="35">
        <f t="shared" si="24"/>
        <v>1.4216190984801673E-2</v>
      </c>
      <c r="J171" s="35">
        <f t="shared" si="25"/>
        <v>0.05</v>
      </c>
      <c r="K171" s="35">
        <f t="shared" si="26"/>
        <v>0.05</v>
      </c>
      <c r="L171" s="39">
        <f t="shared" si="27"/>
        <v>124.04554977091834</v>
      </c>
      <c r="M171" s="35">
        <f t="shared" si="28"/>
        <v>124.94877783180588</v>
      </c>
      <c r="N171" s="6" t="e">
        <f ca="1"/>
        <v>#NAME?</v>
      </c>
      <c r="O171" s="6" t="e">
        <f ca="1"/>
        <v>#NAME?</v>
      </c>
      <c r="P171" t="e">
        <f t="shared" ca="1" si="29"/>
        <v>#NAME?</v>
      </c>
      <c r="Q171" t="e">
        <f t="shared" ca="1" si="30"/>
        <v>#NAME?</v>
      </c>
      <c r="R171" t="e">
        <f t="shared" ca="1" si="31"/>
        <v>#NAME?</v>
      </c>
      <c r="S171">
        <v>124.04555071338763</v>
      </c>
      <c r="T171">
        <v>124.94892477228865</v>
      </c>
      <c r="U171">
        <v>0</v>
      </c>
      <c r="V171" t="e">
        <f>0.33*#REF!+0.67*#REF!</f>
        <v>#REF!</v>
      </c>
      <c r="W171">
        <v>0</v>
      </c>
    </row>
    <row r="172" spans="2:23">
      <c r="B172">
        <v>128.5</v>
      </c>
      <c r="C172">
        <v>125.5</v>
      </c>
      <c r="D172" s="7">
        <f t="shared" si="21"/>
        <v>127</v>
      </c>
      <c r="E172" s="23">
        <v>4.9314694006451996</v>
      </c>
      <c r="F172" s="25">
        <v>-1.59947257120965</v>
      </c>
      <c r="G172" s="11">
        <f t="shared" si="22"/>
        <v>-72.030049846825037</v>
      </c>
      <c r="H172" s="11">
        <f t="shared" si="23"/>
        <v>26.628206453446253</v>
      </c>
      <c r="I172" s="35">
        <f t="shared" si="24"/>
        <v>1.8777081395780205E-2</v>
      </c>
      <c r="J172" s="35">
        <f t="shared" si="25"/>
        <v>0.05</v>
      </c>
      <c r="K172" s="35">
        <f t="shared" si="26"/>
        <v>0.05</v>
      </c>
      <c r="L172" s="39">
        <f t="shared" si="27"/>
        <v>124.19327228237242</v>
      </c>
      <c r="M172" s="35">
        <f t="shared" si="28"/>
        <v>124.92989019307005</v>
      </c>
      <c r="N172" s="6" t="e">
        <f ca="1"/>
        <v>#NAME?</v>
      </c>
      <c r="O172" s="6" t="e">
        <f ca="1"/>
        <v>#NAME?</v>
      </c>
      <c r="P172" t="e">
        <f t="shared" ca="1" si="29"/>
        <v>#NAME?</v>
      </c>
      <c r="Q172" t="e">
        <f t="shared" ca="1" si="30"/>
        <v>#NAME?</v>
      </c>
      <c r="R172" t="e">
        <f t="shared" ca="1" si="31"/>
        <v>#NAME?</v>
      </c>
      <c r="S172">
        <v>124.19327317771824</v>
      </c>
      <c r="T172">
        <v>124.93003348242439</v>
      </c>
      <c r="U172">
        <v>0</v>
      </c>
      <c r="V172" t="e">
        <f>0.33*#REF!+0.67*#REF!</f>
        <v>#REF!</v>
      </c>
      <c r="W172">
        <v>0</v>
      </c>
    </row>
    <row r="173" spans="2:23">
      <c r="B173">
        <v>126.75</v>
      </c>
      <c r="C173">
        <v>124.25</v>
      </c>
      <c r="D173" s="7">
        <f t="shared" si="21"/>
        <v>125.5</v>
      </c>
      <c r="E173" s="23">
        <v>4.6984547978467903</v>
      </c>
      <c r="F173" s="25">
        <v>0.36121774271624502</v>
      </c>
      <c r="G173" s="11">
        <f t="shared" si="22"/>
        <v>85.603741740163017</v>
      </c>
      <c r="H173" s="11">
        <f t="shared" si="23"/>
        <v>1</v>
      </c>
      <c r="I173" s="35">
        <f t="shared" si="24"/>
        <v>0.5</v>
      </c>
      <c r="J173" s="35">
        <f t="shared" si="25"/>
        <v>0.5</v>
      </c>
      <c r="K173" s="35">
        <f t="shared" si="26"/>
        <v>0.5</v>
      </c>
      <c r="L173" s="39">
        <f t="shared" si="27"/>
        <v>124.84663614118621</v>
      </c>
      <c r="M173" s="35">
        <f t="shared" si="28"/>
        <v>124.90907668009909</v>
      </c>
      <c r="N173" s="6" t="e">
        <f ca="1"/>
        <v>#NAME?</v>
      </c>
      <c r="O173" s="6" t="e">
        <f ca="1"/>
        <v>#NAME?</v>
      </c>
      <c r="P173" t="e">
        <f t="shared" ca="1" si="29"/>
        <v>#NAME?</v>
      </c>
      <c r="Q173" t="e">
        <f t="shared" ca="1" si="30"/>
        <v>#NAME?</v>
      </c>
      <c r="R173" t="e">
        <f t="shared" ca="1" si="31"/>
        <v>#NAME?</v>
      </c>
      <c r="S173">
        <v>124.84663658885913</v>
      </c>
      <c r="T173">
        <v>124.90918425903308</v>
      </c>
      <c r="U173">
        <v>0</v>
      </c>
      <c r="V173" t="e">
        <f>0.33*#REF!+0.67*#REF!</f>
        <v>#REF!</v>
      </c>
      <c r="W173">
        <v>0</v>
      </c>
    </row>
    <row r="174" spans="2:23">
      <c r="B174">
        <v>129.75</v>
      </c>
      <c r="C174">
        <v>128</v>
      </c>
      <c r="D174" s="7">
        <f t="shared" si="21"/>
        <v>128.875</v>
      </c>
      <c r="E174" s="23">
        <v>2.4792887198744</v>
      </c>
      <c r="F174" s="25">
        <v>1.28701615924357</v>
      </c>
      <c r="G174" s="11">
        <f t="shared" si="22"/>
        <v>62.565857372333333</v>
      </c>
      <c r="H174" s="11">
        <f t="shared" si="23"/>
        <v>23.037884367829683</v>
      </c>
      <c r="I174" s="35">
        <f t="shared" si="24"/>
        <v>2.1703381787010124E-2</v>
      </c>
      <c r="J174" s="35">
        <f t="shared" si="25"/>
        <v>0.05</v>
      </c>
      <c r="K174" s="35">
        <f t="shared" si="26"/>
        <v>0.05</v>
      </c>
      <c r="L174" s="39">
        <f t="shared" si="27"/>
        <v>125.04805433412689</v>
      </c>
      <c r="M174" s="35">
        <f t="shared" si="28"/>
        <v>124.91255112144978</v>
      </c>
      <c r="N174" s="6" t="e">
        <f ca="1"/>
        <v>#NAME?</v>
      </c>
      <c r="O174" s="6" t="e">
        <f ca="1"/>
        <v>#NAME?</v>
      </c>
      <c r="P174" t="e">
        <f t="shared" ca="1" si="29"/>
        <v>#NAME?</v>
      </c>
      <c r="Q174" t="e">
        <f t="shared" ca="1" si="30"/>
        <v>#NAME?</v>
      </c>
      <c r="R174" t="e">
        <f t="shared" ca="1" si="31"/>
        <v>#NAME?</v>
      </c>
      <c r="S174">
        <v>125.04805475941616</v>
      </c>
      <c r="T174">
        <v>124.91265602154266</v>
      </c>
      <c r="U174">
        <v>0</v>
      </c>
      <c r="V174" t="e">
        <f>0.33*#REF!+0.67*#REF!</f>
        <v>#REF!</v>
      </c>
      <c r="W174">
        <v>0</v>
      </c>
    </row>
    <row r="175" spans="2:23">
      <c r="B175">
        <v>132.69</v>
      </c>
      <c r="C175">
        <v>128.38</v>
      </c>
      <c r="D175" s="7">
        <f t="shared" si="21"/>
        <v>130.535</v>
      </c>
      <c r="E175" s="23">
        <v>1.10897290447125</v>
      </c>
      <c r="F175" s="25">
        <v>1.5555985576664899</v>
      </c>
      <c r="G175" s="11">
        <f t="shared" si="22"/>
        <v>35.484745603687749</v>
      </c>
      <c r="H175" s="11">
        <f t="shared" si="23"/>
        <v>27.081111768645584</v>
      </c>
      <c r="I175" s="35">
        <f t="shared" si="24"/>
        <v>1.8463052930452369E-2</v>
      </c>
      <c r="J175" s="35">
        <f t="shared" si="25"/>
        <v>0.05</v>
      </c>
      <c r="K175" s="35">
        <f t="shared" si="26"/>
        <v>0.05</v>
      </c>
      <c r="L175" s="39">
        <f t="shared" si="27"/>
        <v>125.32240161742052</v>
      </c>
      <c r="M175" s="35">
        <f t="shared" si="28"/>
        <v>124.92279738384904</v>
      </c>
      <c r="N175" s="6" t="e">
        <f ca="1"/>
        <v>#NAME?</v>
      </c>
      <c r="O175" s="6" t="e">
        <f ca="1"/>
        <v>#NAME?</v>
      </c>
      <c r="P175" t="e">
        <f t="shared" ca="1" si="29"/>
        <v>#NAME?</v>
      </c>
      <c r="Q175" t="e">
        <f t="shared" ca="1" si="30"/>
        <v>#NAME?</v>
      </c>
      <c r="R175" t="e">
        <f t="shared" ca="1" si="31"/>
        <v>#NAME?</v>
      </c>
      <c r="S175">
        <v>125.32240202144536</v>
      </c>
      <c r="T175">
        <v>124.92289967154022</v>
      </c>
      <c r="U175">
        <v>0</v>
      </c>
      <c r="V175" t="e">
        <f>0.33*#REF!+0.67*#REF!</f>
        <v>#REF!</v>
      </c>
      <c r="W175">
        <v>0</v>
      </c>
    </row>
    <row r="176" spans="2:23">
      <c r="B176">
        <v>133.94</v>
      </c>
      <c r="C176">
        <v>130.69</v>
      </c>
      <c r="D176" s="7">
        <f t="shared" si="21"/>
        <v>132.315</v>
      </c>
      <c r="E176" s="23">
        <v>1.6724678730290601</v>
      </c>
      <c r="F176" s="25">
        <v>1.53303776067065</v>
      </c>
      <c r="G176" s="11">
        <f t="shared" si="22"/>
        <v>47.490628739673419</v>
      </c>
      <c r="H176" s="11">
        <f t="shared" si="23"/>
        <v>1</v>
      </c>
      <c r="I176" s="35">
        <f t="shared" si="24"/>
        <v>0.5</v>
      </c>
      <c r="J176" s="35">
        <f t="shared" si="25"/>
        <v>0.5</v>
      </c>
      <c r="K176" s="35">
        <f t="shared" si="26"/>
        <v>0.5</v>
      </c>
      <c r="L176" s="39">
        <f t="shared" si="27"/>
        <v>128.81870080871028</v>
      </c>
      <c r="M176" s="35">
        <f t="shared" si="28"/>
        <v>125.89677324006435</v>
      </c>
      <c r="N176" s="6" t="e">
        <f ca="1"/>
        <v>#NAME?</v>
      </c>
      <c r="O176" s="6" t="e">
        <f ca="1"/>
        <v>#NAME?</v>
      </c>
      <c r="P176" t="e">
        <f t="shared" ca="1" si="29"/>
        <v>#NAME?</v>
      </c>
      <c r="Q176" t="e">
        <f t="shared" ca="1" si="30"/>
        <v>#NAME?</v>
      </c>
      <c r="R176" t="e">
        <f t="shared" ca="1" si="31"/>
        <v>#NAME?</v>
      </c>
      <c r="S176">
        <v>128.81870101072269</v>
      </c>
      <c r="T176">
        <v>125.89685000633584</v>
      </c>
      <c r="U176">
        <v>0</v>
      </c>
      <c r="V176" t="e">
        <f>0.33*#REF!+0.67*#REF!</f>
        <v>#REF!</v>
      </c>
      <c r="W176">
        <v>0</v>
      </c>
    </row>
    <row r="177" spans="2:23">
      <c r="B177">
        <v>136.5</v>
      </c>
      <c r="C177">
        <v>131.63</v>
      </c>
      <c r="D177" s="7">
        <f t="shared" si="21"/>
        <v>134.065</v>
      </c>
      <c r="E177" s="23">
        <v>1.8568277729052201</v>
      </c>
      <c r="F177" s="25">
        <v>2.5725626476464201</v>
      </c>
      <c r="G177" s="11">
        <f t="shared" si="22"/>
        <v>35.821048980775508</v>
      </c>
      <c r="H177" s="11">
        <f t="shared" si="23"/>
        <v>11.66957975889791</v>
      </c>
      <c r="I177" s="35">
        <f t="shared" si="24"/>
        <v>4.284644437335082E-2</v>
      </c>
      <c r="J177" s="35">
        <f t="shared" si="25"/>
        <v>0.05</v>
      </c>
      <c r="K177" s="35">
        <f t="shared" si="26"/>
        <v>0.05</v>
      </c>
      <c r="L177" s="39">
        <f t="shared" si="27"/>
        <v>129.08101576827477</v>
      </c>
      <c r="M177" s="35">
        <f t="shared" si="28"/>
        <v>125.9763793032696</v>
      </c>
      <c r="N177" s="6" t="e">
        <f ca="1"/>
        <v>#NAME?</v>
      </c>
      <c r="O177" s="6" t="e">
        <f ca="1"/>
        <v>#NAME?</v>
      </c>
      <c r="P177" t="e">
        <f t="shared" ca="1" si="29"/>
        <v>#NAME?</v>
      </c>
      <c r="Q177" t="e">
        <f t="shared" ca="1" si="30"/>
        <v>#NAME?</v>
      </c>
      <c r="R177" t="e">
        <f t="shared" ca="1" si="31"/>
        <v>#NAME?</v>
      </c>
      <c r="S177">
        <v>129.08101596018656</v>
      </c>
      <c r="T177">
        <v>125.9764541551821</v>
      </c>
      <c r="U177">
        <v>0</v>
      </c>
      <c r="V177" t="e">
        <f>0.33*#REF!+0.67*#REF!</f>
        <v>#REF!</v>
      </c>
      <c r="W177">
        <v>0</v>
      </c>
    </row>
    <row r="178" spans="2:23">
      <c r="B178">
        <v>137.69</v>
      </c>
      <c r="C178">
        <v>134.38</v>
      </c>
      <c r="D178" s="7">
        <f t="shared" si="21"/>
        <v>136.035</v>
      </c>
      <c r="E178" s="23">
        <v>1.23545791359992</v>
      </c>
      <c r="F178" s="25">
        <v>2.6287065930924398</v>
      </c>
      <c r="G178" s="11">
        <f t="shared" si="22"/>
        <v>25.172914229078764</v>
      </c>
      <c r="H178" s="11">
        <f t="shared" si="23"/>
        <v>10.648134751696745</v>
      </c>
      <c r="I178" s="35">
        <f t="shared" si="24"/>
        <v>4.6956580815276282E-2</v>
      </c>
      <c r="J178" s="35">
        <f t="shared" si="25"/>
        <v>0.05</v>
      </c>
      <c r="K178" s="35">
        <f t="shared" si="26"/>
        <v>0.05</v>
      </c>
      <c r="L178" s="39">
        <f t="shared" si="27"/>
        <v>129.42871497986104</v>
      </c>
      <c r="M178" s="35">
        <f t="shared" si="28"/>
        <v>126.06268769518438</v>
      </c>
      <c r="N178" s="6" t="e">
        <f ca="1"/>
        <v>#NAME?</v>
      </c>
      <c r="O178" s="6" t="e">
        <f ca="1"/>
        <v>#NAME?</v>
      </c>
      <c r="P178" t="e">
        <f t="shared" ca="1" si="29"/>
        <v>#NAME?</v>
      </c>
      <c r="Q178" t="e">
        <f t="shared" ca="1" si="30"/>
        <v>#NAME?</v>
      </c>
      <c r="R178" t="e">
        <f t="shared" ca="1" si="31"/>
        <v>#NAME?</v>
      </c>
      <c r="S178">
        <v>129.42871516217724</v>
      </c>
      <c r="T178">
        <v>126.06276068035697</v>
      </c>
      <c r="U178">
        <v>0</v>
      </c>
      <c r="V178" t="e">
        <f>0.33*#REF!+0.67*#REF!</f>
        <v>#REF!</v>
      </c>
      <c r="W178">
        <v>0</v>
      </c>
    </row>
    <row r="179" spans="2:23">
      <c r="B179">
        <v>135.56</v>
      </c>
      <c r="C179">
        <v>132</v>
      </c>
      <c r="D179" s="7">
        <f t="shared" si="21"/>
        <v>133.78</v>
      </c>
      <c r="E179" s="23">
        <v>2.9751573319593598</v>
      </c>
      <c r="F179" s="25">
        <v>3.1339772455195098</v>
      </c>
      <c r="G179" s="11">
        <f t="shared" si="22"/>
        <v>43.510810090857028</v>
      </c>
      <c r="H179" s="11">
        <f t="shared" si="23"/>
        <v>1</v>
      </c>
      <c r="I179" s="35">
        <f t="shared" si="24"/>
        <v>0.5</v>
      </c>
      <c r="J179" s="35">
        <f t="shared" si="25"/>
        <v>0.5</v>
      </c>
      <c r="K179" s="35">
        <f t="shared" si="26"/>
        <v>0.5</v>
      </c>
      <c r="L179" s="39">
        <f t="shared" si="27"/>
        <v>131.60435748993052</v>
      </c>
      <c r="M179" s="35">
        <f t="shared" si="28"/>
        <v>127.44810514387092</v>
      </c>
      <c r="N179" s="6" t="e">
        <f ca="1"/>
        <v>#NAME?</v>
      </c>
      <c r="O179" s="6" t="e">
        <f ca="1"/>
        <v>#NAME?</v>
      </c>
      <c r="P179" t="e">
        <f t="shared" ca="1" si="29"/>
        <v>#NAME?</v>
      </c>
      <c r="Q179" t="e">
        <f t="shared" ca="1" si="30"/>
        <v>#NAME?</v>
      </c>
      <c r="R179" t="e">
        <f t="shared" ca="1" si="31"/>
        <v>#NAME?</v>
      </c>
      <c r="S179">
        <v>131.60435758108861</v>
      </c>
      <c r="T179">
        <v>127.44815990553988</v>
      </c>
      <c r="U179">
        <v>0</v>
      </c>
      <c r="V179" t="e">
        <f>0.33*#REF!+0.67*#REF!</f>
        <v>#REF!</v>
      </c>
      <c r="W179">
        <v>0</v>
      </c>
    </row>
    <row r="180" spans="2:23">
      <c r="B180">
        <v>133.56</v>
      </c>
      <c r="C180">
        <v>131.94</v>
      </c>
      <c r="D180" s="7">
        <f t="shared" si="21"/>
        <v>132.75</v>
      </c>
      <c r="E180" s="23">
        <v>2.5101880496838902</v>
      </c>
      <c r="F180" s="25">
        <v>4.8586311952515402</v>
      </c>
      <c r="G180" s="11">
        <f t="shared" si="22"/>
        <v>27.322916435557158</v>
      </c>
      <c r="H180" s="11">
        <f t="shared" si="23"/>
        <v>16.18789365529987</v>
      </c>
      <c r="I180" s="35">
        <f t="shared" si="24"/>
        <v>3.0887279756517391E-2</v>
      </c>
      <c r="J180" s="35">
        <f t="shared" si="25"/>
        <v>0.05</v>
      </c>
      <c r="K180" s="35">
        <f t="shared" si="26"/>
        <v>0.05</v>
      </c>
      <c r="L180" s="39">
        <f t="shared" si="27"/>
        <v>131.66163961543398</v>
      </c>
      <c r="M180" s="35">
        <f t="shared" si="28"/>
        <v>127.55344350566</v>
      </c>
      <c r="N180" s="6" t="e">
        <f ca="1"/>
        <v>#NAME?</v>
      </c>
      <c r="O180" s="6" t="e">
        <f ca="1"/>
        <v>#NAME?</v>
      </c>
      <c r="P180" t="e">
        <f t="shared" ca="1" si="29"/>
        <v>#NAME?</v>
      </c>
      <c r="Q180" t="e">
        <f t="shared" ca="1" si="30"/>
        <v>#NAME?</v>
      </c>
      <c r="R180" t="e">
        <f t="shared" ca="1" si="31"/>
        <v>#NAME?</v>
      </c>
      <c r="S180">
        <v>131.66163970203417</v>
      </c>
      <c r="T180">
        <v>127.55349690045223</v>
      </c>
      <c r="U180">
        <v>0</v>
      </c>
      <c r="V180" t="e">
        <f>0.33*#REF!+0.67*#REF!</f>
        <v>#REF!</v>
      </c>
      <c r="W180">
        <v>0</v>
      </c>
    </row>
    <row r="181" spans="2:23">
      <c r="B181">
        <v>135</v>
      </c>
      <c r="C181">
        <v>131.94</v>
      </c>
      <c r="D181" s="7">
        <f t="shared" si="21"/>
        <v>133.47</v>
      </c>
      <c r="E181" s="23">
        <v>0.53320753174211399</v>
      </c>
      <c r="F181" s="25">
        <v>5.1470948349263699</v>
      </c>
      <c r="G181" s="11">
        <f t="shared" si="22"/>
        <v>5.9143952387067111</v>
      </c>
      <c r="H181" s="11">
        <f t="shared" si="23"/>
        <v>21.408521196850447</v>
      </c>
      <c r="I181" s="35">
        <f t="shared" si="24"/>
        <v>2.3355186255160792E-2</v>
      </c>
      <c r="J181" s="35">
        <f t="shared" si="25"/>
        <v>0.05</v>
      </c>
      <c r="K181" s="35">
        <f t="shared" si="26"/>
        <v>0.05</v>
      </c>
      <c r="L181" s="39">
        <f t="shared" si="27"/>
        <v>131.75205763466226</v>
      </c>
      <c r="M181" s="35">
        <f t="shared" si="28"/>
        <v>127.65840885888505</v>
      </c>
      <c r="N181" s="6" t="e">
        <f ca="1"/>
        <v>#NAME?</v>
      </c>
      <c r="O181" s="6" t="e">
        <f ca="1"/>
        <v>#NAME?</v>
      </c>
      <c r="P181" t="e">
        <f t="shared" ca="1" si="29"/>
        <v>#NAME?</v>
      </c>
      <c r="Q181" t="e">
        <f t="shared" ca="1" si="30"/>
        <v>#NAME?</v>
      </c>
      <c r="R181" t="e">
        <f t="shared" ca="1" si="31"/>
        <v>#NAME?</v>
      </c>
      <c r="S181">
        <v>131.75205771693246</v>
      </c>
      <c r="T181">
        <v>127.65846092086423</v>
      </c>
      <c r="U181">
        <v>0</v>
      </c>
      <c r="V181" t="e">
        <f>0.33*#REF!+0.67*#REF!</f>
        <v>#REF!</v>
      </c>
      <c r="W181">
        <v>0</v>
      </c>
    </row>
    <row r="182" spans="2:23">
      <c r="B182">
        <v>132.38</v>
      </c>
      <c r="C182">
        <v>129.56</v>
      </c>
      <c r="D182" s="7">
        <f t="shared" si="21"/>
        <v>130.97</v>
      </c>
      <c r="E182" s="23">
        <v>-0.67053079080981504</v>
      </c>
      <c r="F182" s="25">
        <v>5.30681723214248</v>
      </c>
      <c r="G182" s="11">
        <f t="shared" si="22"/>
        <v>-7.2013163499173638</v>
      </c>
      <c r="H182" s="11">
        <f t="shared" si="23"/>
        <v>13.115711588624075</v>
      </c>
      <c r="I182" s="35">
        <f t="shared" si="24"/>
        <v>3.8122216749084011E-2</v>
      </c>
      <c r="J182" s="35">
        <f t="shared" si="25"/>
        <v>0.05</v>
      </c>
      <c r="K182" s="35">
        <f t="shared" si="26"/>
        <v>0.05</v>
      </c>
      <c r="L182" s="39">
        <f t="shared" si="27"/>
        <v>131.71295475292914</v>
      </c>
      <c r="M182" s="35">
        <f t="shared" si="28"/>
        <v>127.75977250623616</v>
      </c>
      <c r="N182" s="6" t="e">
        <f ca="1"/>
        <v>#NAME?</v>
      </c>
      <c r="O182" s="6" t="e">
        <f ca="1"/>
        <v>#NAME?</v>
      </c>
      <c r="P182" t="e">
        <f t="shared" ca="1" si="29"/>
        <v>#NAME?</v>
      </c>
      <c r="Q182" t="e">
        <f t="shared" ca="1" si="30"/>
        <v>#NAME?</v>
      </c>
      <c r="R182" t="e">
        <f t="shared" ca="1" si="31"/>
        <v>#NAME?</v>
      </c>
      <c r="S182">
        <v>131.71295483108582</v>
      </c>
      <c r="T182">
        <v>127.75982326861977</v>
      </c>
      <c r="U182">
        <v>0</v>
      </c>
      <c r="V182" t="e">
        <f>0.33*#REF!+0.67*#REF!</f>
        <v>#REF!</v>
      </c>
      <c r="W182">
        <v>0</v>
      </c>
    </row>
    <row r="183" spans="2:23">
      <c r="B183">
        <v>131.44</v>
      </c>
      <c r="C183">
        <v>123.75</v>
      </c>
      <c r="D183" s="7">
        <f t="shared" si="21"/>
        <v>127.595</v>
      </c>
      <c r="E183" s="23">
        <v>-3.7928983583701799</v>
      </c>
      <c r="F183" s="25">
        <v>5.0438380417364304</v>
      </c>
      <c r="G183" s="11">
        <f t="shared" si="22"/>
        <v>-36.942673539129117</v>
      </c>
      <c r="H183" s="11">
        <f t="shared" si="23"/>
        <v>29.741357189211755</v>
      </c>
      <c r="I183" s="35">
        <f t="shared" si="24"/>
        <v>1.6811606707086243E-2</v>
      </c>
      <c r="J183" s="35">
        <f t="shared" si="25"/>
        <v>0.05</v>
      </c>
      <c r="K183" s="35">
        <f t="shared" si="26"/>
        <v>0.05</v>
      </c>
      <c r="L183" s="39">
        <f t="shared" si="27"/>
        <v>131.50705701528267</v>
      </c>
      <c r="M183" s="35">
        <f t="shared" si="28"/>
        <v>127.85345461896233</v>
      </c>
      <c r="N183" s="6" t="e">
        <f ca="1"/>
        <v>#NAME?</v>
      </c>
      <c r="O183" s="6" t="e">
        <f ca="1"/>
        <v>#NAME?</v>
      </c>
      <c r="P183" t="e">
        <f t="shared" ca="1" si="29"/>
        <v>#NAME?</v>
      </c>
      <c r="Q183" t="e">
        <f t="shared" ca="1" si="30"/>
        <v>#NAME?</v>
      </c>
      <c r="R183" t="e">
        <f t="shared" ca="1" si="31"/>
        <v>#NAME?</v>
      </c>
      <c r="S183">
        <v>131.50705708953151</v>
      </c>
      <c r="T183">
        <v>127.85350411414255</v>
      </c>
      <c r="U183">
        <v>0</v>
      </c>
      <c r="V183" t="e">
        <f>0.33*#REF!+0.67*#REF!</f>
        <v>#REF!</v>
      </c>
      <c r="W183">
        <v>0</v>
      </c>
    </row>
    <row r="184" spans="2:23">
      <c r="B184">
        <v>130.88</v>
      </c>
      <c r="C184">
        <v>126</v>
      </c>
      <c r="D184" s="7">
        <f t="shared" si="21"/>
        <v>128.44</v>
      </c>
      <c r="E184" s="23">
        <v>-7.4267998289292798</v>
      </c>
      <c r="F184" s="25">
        <v>2.9991725648751899</v>
      </c>
      <c r="G184" s="11">
        <f t="shared" si="22"/>
        <v>-68.009612854281627</v>
      </c>
      <c r="H184" s="11">
        <f t="shared" si="23"/>
        <v>31.06693931515251</v>
      </c>
      <c r="I184" s="35">
        <f t="shared" si="24"/>
        <v>1.609427935361921E-2</v>
      </c>
      <c r="J184" s="35">
        <f t="shared" si="25"/>
        <v>0.05</v>
      </c>
      <c r="K184" s="35">
        <f t="shared" si="26"/>
        <v>0.05</v>
      </c>
      <c r="L184" s="39">
        <f t="shared" si="27"/>
        <v>131.35370416451855</v>
      </c>
      <c r="M184" s="35">
        <f t="shared" si="28"/>
        <v>127.94096085760123</v>
      </c>
      <c r="N184" s="6" t="e">
        <f ca="1"/>
        <v>#NAME?</v>
      </c>
      <c r="O184" s="6" t="e">
        <f ca="1"/>
        <v>#NAME?</v>
      </c>
      <c r="P184" t="e">
        <f t="shared" ca="1" si="29"/>
        <v>#NAME?</v>
      </c>
      <c r="Q184" t="e">
        <f t="shared" ca="1" si="30"/>
        <v>#NAME?</v>
      </c>
      <c r="R184" t="e">
        <f t="shared" ca="1" si="31"/>
        <v>#NAME?</v>
      </c>
      <c r="S184">
        <v>131.35370423505495</v>
      </c>
      <c r="T184">
        <v>127.94100911716536</v>
      </c>
      <c r="U184">
        <v>0</v>
      </c>
      <c r="V184" t="e">
        <f>0.33*#REF!+0.67*#REF!</f>
        <v>#REF!</v>
      </c>
      <c r="W184">
        <v>0</v>
      </c>
    </row>
    <row r="185" spans="2:23">
      <c r="B185">
        <v>129.63</v>
      </c>
      <c r="C185">
        <v>126.25</v>
      </c>
      <c r="D185" s="7">
        <f t="shared" si="21"/>
        <v>127.94</v>
      </c>
      <c r="E185" s="23">
        <v>-7.0562684670604501</v>
      </c>
      <c r="F185" s="25">
        <v>2.3631933927242801E-2</v>
      </c>
      <c r="G185" s="11">
        <f t="shared" si="22"/>
        <v>-89.808113166356279</v>
      </c>
      <c r="H185" s="11">
        <f t="shared" si="23"/>
        <v>21.798500312074651</v>
      </c>
      <c r="I185" s="35">
        <f t="shared" si="24"/>
        <v>2.2937357746717988E-2</v>
      </c>
      <c r="J185" s="35">
        <f t="shared" si="25"/>
        <v>0.05</v>
      </c>
      <c r="K185" s="35">
        <f t="shared" si="26"/>
        <v>0.05</v>
      </c>
      <c r="L185" s="39">
        <f t="shared" si="27"/>
        <v>131.18301895629261</v>
      </c>
      <c r="M185" s="35">
        <f t="shared" si="28"/>
        <v>128.0220123100685</v>
      </c>
      <c r="N185" s="6" t="e">
        <f ca="1"/>
        <v>#NAME?</v>
      </c>
      <c r="O185" s="6" t="e">
        <f ca="1"/>
        <v>#NAME?</v>
      </c>
      <c r="P185" t="e">
        <f t="shared" ca="1" si="29"/>
        <v>#NAME?</v>
      </c>
      <c r="Q185" t="e">
        <f t="shared" ca="1" si="30"/>
        <v>#NAME?</v>
      </c>
      <c r="R185" t="e">
        <f t="shared" ca="1" si="31"/>
        <v>#NAME?</v>
      </c>
      <c r="S185">
        <v>131.18301902330219</v>
      </c>
      <c r="T185">
        <v>128.02205936481877</v>
      </c>
      <c r="U185">
        <v>0</v>
      </c>
      <c r="V185" t="e">
        <f>0.33*#REF!+0.67*#REF!</f>
        <v>#REF!</v>
      </c>
      <c r="W185">
        <v>0</v>
      </c>
    </row>
    <row r="186" spans="2:23">
      <c r="B186">
        <v>127.25</v>
      </c>
      <c r="C186">
        <v>124.37</v>
      </c>
      <c r="D186" s="7">
        <f t="shared" si="21"/>
        <v>125.81</v>
      </c>
      <c r="E186" s="23">
        <v>-5.2066106664051102</v>
      </c>
      <c r="F186" s="25">
        <v>-1.28708590318014</v>
      </c>
      <c r="G186" s="11">
        <f t="shared" si="22"/>
        <v>76.114725135950408</v>
      </c>
      <c r="H186" s="11">
        <f t="shared" si="23"/>
        <v>1</v>
      </c>
      <c r="I186" s="35">
        <f t="shared" si="24"/>
        <v>0.5</v>
      </c>
      <c r="J186" s="35">
        <f t="shared" si="25"/>
        <v>0.5</v>
      </c>
      <c r="K186" s="35">
        <f t="shared" si="26"/>
        <v>0.5</v>
      </c>
      <c r="L186" s="39">
        <f t="shared" si="27"/>
        <v>128.49650947814632</v>
      </c>
      <c r="M186" s="35">
        <f t="shared" si="28"/>
        <v>128.14063660208797</v>
      </c>
      <c r="N186" s="6" t="e">
        <f ca="1"/>
        <v>#NAME?</v>
      </c>
      <c r="O186" s="6" t="e">
        <f ca="1"/>
        <v>#NAME?</v>
      </c>
      <c r="P186" t="e">
        <f t="shared" ca="1" si="29"/>
        <v>#NAME?</v>
      </c>
      <c r="Q186" t="e">
        <f t="shared" ca="1" si="30"/>
        <v>#NAME?</v>
      </c>
      <c r="R186" t="e">
        <f t="shared" ca="1" si="31"/>
        <v>#NAME?</v>
      </c>
      <c r="S186">
        <v>128.49650951165108</v>
      </c>
      <c r="T186">
        <v>128.14067190152684</v>
      </c>
      <c r="U186">
        <v>0</v>
      </c>
      <c r="V186" t="e">
        <f>0.33*#REF!+0.67*#REF!</f>
        <v>#REF!</v>
      </c>
      <c r="W186">
        <v>0</v>
      </c>
    </row>
    <row r="187" spans="2:23">
      <c r="B187">
        <v>127.81</v>
      </c>
      <c r="C187">
        <v>121.44</v>
      </c>
      <c r="D187" s="7">
        <f t="shared" si="21"/>
        <v>124.625</v>
      </c>
      <c r="E187" s="23">
        <v>-5.8773566485659803</v>
      </c>
      <c r="F187" s="25">
        <v>-2.7173888295800102</v>
      </c>
      <c r="G187" s="11">
        <f t="shared" si="22"/>
        <v>65.186595352758857</v>
      </c>
      <c r="H187" s="11">
        <f t="shared" si="23"/>
        <v>10.928129783191551</v>
      </c>
      <c r="I187" s="35">
        <f t="shared" si="24"/>
        <v>4.5753482976478292E-2</v>
      </c>
      <c r="J187" s="35">
        <f t="shared" si="25"/>
        <v>0.05</v>
      </c>
      <c r="K187" s="35">
        <f t="shared" si="26"/>
        <v>0.05</v>
      </c>
      <c r="L187" s="39">
        <f t="shared" si="27"/>
        <v>128.30293400423901</v>
      </c>
      <c r="M187" s="35">
        <f t="shared" si="28"/>
        <v>128.14469403714173</v>
      </c>
      <c r="N187" s="6" t="e">
        <f ca="1"/>
        <v>#NAME?</v>
      </c>
      <c r="O187" s="6" t="e">
        <f ca="1"/>
        <v>#NAME?</v>
      </c>
      <c r="P187" t="e">
        <f t="shared" ca="1" si="29"/>
        <v>#NAME?</v>
      </c>
      <c r="Q187" t="e">
        <f t="shared" ca="1" si="30"/>
        <v>#NAME?</v>
      </c>
      <c r="R187" t="e">
        <f t="shared" ca="1" si="31"/>
        <v>#NAME?</v>
      </c>
      <c r="S187">
        <v>128.30293403606851</v>
      </c>
      <c r="T187">
        <v>128.14472845489038</v>
      </c>
      <c r="U187">
        <v>0</v>
      </c>
      <c r="V187" t="e">
        <f>0.33*#REF!+0.67*#REF!</f>
        <v>#REF!</v>
      </c>
      <c r="W187">
        <v>0</v>
      </c>
    </row>
    <row r="188" spans="2:23">
      <c r="B188">
        <v>125</v>
      </c>
      <c r="C188">
        <v>120.44</v>
      </c>
      <c r="D188" s="7">
        <f t="shared" si="21"/>
        <v>122.72</v>
      </c>
      <c r="E188" s="23">
        <v>-3.6461782452550602</v>
      </c>
      <c r="F188" s="25">
        <v>-5.0279849727059203</v>
      </c>
      <c r="G188" s="11">
        <f t="shared" si="22"/>
        <v>35.948752581723376</v>
      </c>
      <c r="H188" s="11">
        <f t="shared" si="23"/>
        <v>29.237842771035481</v>
      </c>
      <c r="I188" s="35">
        <f t="shared" si="24"/>
        <v>1.7101124864633509E-2</v>
      </c>
      <c r="J188" s="35">
        <f t="shared" si="25"/>
        <v>0.05</v>
      </c>
      <c r="K188" s="35">
        <f t="shared" si="26"/>
        <v>0.05</v>
      </c>
      <c r="L188" s="39">
        <f t="shared" si="27"/>
        <v>128.02378730402705</v>
      </c>
      <c r="M188" s="35">
        <f t="shared" si="28"/>
        <v>128.14167136881386</v>
      </c>
      <c r="N188" s="6" t="e">
        <f ca="1"/>
        <v>#NAME?</v>
      </c>
      <c r="O188" s="6" t="e">
        <f ca="1"/>
        <v>#NAME?</v>
      </c>
      <c r="P188" t="e">
        <f t="shared" ca="1" si="29"/>
        <v>#NAME?</v>
      </c>
      <c r="Q188" t="e">
        <f t="shared" ca="1" si="30"/>
        <v>#NAME?</v>
      </c>
      <c r="R188" t="e">
        <f t="shared" ca="1" si="31"/>
        <v>#NAME?</v>
      </c>
      <c r="S188">
        <v>128.02378733426508</v>
      </c>
      <c r="T188">
        <v>128.14170492687475</v>
      </c>
      <c r="U188">
        <v>0</v>
      </c>
      <c r="V188" t="e">
        <f>0.33*#REF!+0.67*#REF!</f>
        <v>#REF!</v>
      </c>
      <c r="W188">
        <v>0</v>
      </c>
    </row>
    <row r="189" spans="2:23">
      <c r="B189">
        <v>126.81</v>
      </c>
      <c r="C189">
        <v>121.37</v>
      </c>
      <c r="D189" s="7">
        <f t="shared" si="21"/>
        <v>124.09</v>
      </c>
      <c r="E189" s="23">
        <v>0.82201930306728699</v>
      </c>
      <c r="F189" s="25">
        <v>-5.0367674467088799</v>
      </c>
      <c r="G189" s="11">
        <f t="shared" si="22"/>
        <v>-9.2691660525110695</v>
      </c>
      <c r="H189" s="11">
        <f t="shared" si="23"/>
        <v>45.217918634234444</v>
      </c>
      <c r="I189" s="35">
        <f t="shared" si="24"/>
        <v>1.1057563353246659E-2</v>
      </c>
      <c r="J189" s="35">
        <f t="shared" si="25"/>
        <v>0.05</v>
      </c>
      <c r="K189" s="35">
        <f t="shared" si="26"/>
        <v>0.05</v>
      </c>
      <c r="L189" s="39">
        <f t="shared" si="27"/>
        <v>127.82709793882569</v>
      </c>
      <c r="M189" s="35">
        <f t="shared" si="28"/>
        <v>128.13380703306416</v>
      </c>
      <c r="N189" s="6" t="e">
        <f ca="1"/>
        <v>#NAME?</v>
      </c>
      <c r="O189" s="6" t="e">
        <f ca="1"/>
        <v>#NAME?</v>
      </c>
      <c r="P189" t="e">
        <f t="shared" ca="1" si="29"/>
        <v>#NAME?</v>
      </c>
      <c r="Q189" t="e">
        <f t="shared" ca="1" si="30"/>
        <v>#NAME?</v>
      </c>
      <c r="R189" t="e">
        <f t="shared" ca="1" si="31"/>
        <v>#NAME?</v>
      </c>
      <c r="S189">
        <v>127.82709796755182</v>
      </c>
      <c r="T189">
        <v>128.13383975289167</v>
      </c>
      <c r="U189">
        <v>0</v>
      </c>
      <c r="V189" t="e">
        <f>0.33*#REF!+0.67*#REF!</f>
        <v>#REF!</v>
      </c>
      <c r="W189">
        <v>0</v>
      </c>
    </row>
    <row r="190" spans="2:23">
      <c r="B190">
        <v>124.75</v>
      </c>
      <c r="C190">
        <v>121.69</v>
      </c>
      <c r="D190" s="7">
        <f t="shared" si="21"/>
        <v>123.22</v>
      </c>
      <c r="E190" s="23">
        <v>0.80805542440406697</v>
      </c>
      <c r="F190" s="25">
        <v>-3.8860401051124498</v>
      </c>
      <c r="G190" s="11">
        <f t="shared" si="22"/>
        <v>-11.746578746936388</v>
      </c>
      <c r="H190" s="11">
        <f t="shared" si="23"/>
        <v>2.4774126944253183</v>
      </c>
      <c r="I190" s="35">
        <f t="shared" si="24"/>
        <v>0.20182345925856501</v>
      </c>
      <c r="J190" s="35">
        <f t="shared" si="25"/>
        <v>0.20182345925856501</v>
      </c>
      <c r="K190" s="35">
        <f t="shared" si="26"/>
        <v>0.20182345925856501</v>
      </c>
      <c r="L190" s="39">
        <f t="shared" si="27"/>
        <v>126.89727749566889</v>
      </c>
      <c r="M190" s="35">
        <f t="shared" si="28"/>
        <v>128.00902669870791</v>
      </c>
      <c r="N190" s="6" t="e">
        <f ca="1"/>
        <v>#NAME?</v>
      </c>
      <c r="O190" s="6" t="e">
        <f ca="1"/>
        <v>#NAME?</v>
      </c>
      <c r="P190" t="e">
        <f t="shared" ca="1" si="29"/>
        <v>#NAME?</v>
      </c>
      <c r="Q190" t="e">
        <f t="shared" ca="1" si="30"/>
        <v>#NAME?</v>
      </c>
      <c r="R190" t="e">
        <f t="shared" ca="1" si="31"/>
        <v>#NAME?</v>
      </c>
      <c r="S190">
        <v>126.89727636635618</v>
      </c>
      <c r="T190">
        <v>128.00905584812708</v>
      </c>
      <c r="U190">
        <v>0</v>
      </c>
      <c r="V190" t="e">
        <f>0.33*#REF!+0.67*#REF!</f>
        <v>#REF!</v>
      </c>
      <c r="W190">
        <v>0</v>
      </c>
    </row>
    <row r="191" spans="2:23">
      <c r="B191">
        <v>122.81</v>
      </c>
      <c r="C191">
        <v>120</v>
      </c>
      <c r="D191" s="7">
        <f t="shared" si="21"/>
        <v>121.405</v>
      </c>
      <c r="E191" s="23">
        <v>9.5229787486074496E-2</v>
      </c>
      <c r="F191" s="25">
        <v>-4.08252754014506</v>
      </c>
      <c r="G191" s="11">
        <f t="shared" si="22"/>
        <v>-1.3362495590968395</v>
      </c>
      <c r="H191" s="11">
        <f t="shared" si="23"/>
        <v>1</v>
      </c>
      <c r="I191" s="35">
        <f t="shared" si="24"/>
        <v>0.5</v>
      </c>
      <c r="J191" s="35">
        <f t="shared" si="25"/>
        <v>0.5</v>
      </c>
      <c r="K191" s="35">
        <f t="shared" si="26"/>
        <v>0.5</v>
      </c>
      <c r="L191" s="39">
        <f t="shared" si="27"/>
        <v>124.15113874783444</v>
      </c>
      <c r="M191" s="35">
        <f t="shared" si="28"/>
        <v>127.04455471098956</v>
      </c>
      <c r="N191" s="6" t="e">
        <f ca="1"/>
        <v>#NAME?</v>
      </c>
      <c r="O191" s="6" t="e">
        <f ca="1"/>
        <v>#NAME?</v>
      </c>
      <c r="P191" t="e">
        <f t="shared" ca="1" si="29"/>
        <v>#NAME?</v>
      </c>
      <c r="Q191" t="e">
        <f t="shared" ca="1" si="30"/>
        <v>#NAME?</v>
      </c>
      <c r="R191" t="e">
        <f t="shared" ca="1" si="31"/>
        <v>#NAME?</v>
      </c>
      <c r="S191">
        <v>124.15113818317809</v>
      </c>
      <c r="T191">
        <v>127.04457643188982</v>
      </c>
      <c r="U191">
        <v>0</v>
      </c>
      <c r="V191" t="e">
        <f>0.33*#REF!+0.67*#REF!</f>
        <v>#REF!</v>
      </c>
      <c r="W191">
        <v>0</v>
      </c>
    </row>
    <row r="192" spans="2:23">
      <c r="B192">
        <v>122.25</v>
      </c>
      <c r="C192">
        <v>119.62</v>
      </c>
      <c r="D192" s="7">
        <f t="shared" si="21"/>
        <v>120.935</v>
      </c>
      <c r="E192" s="23">
        <v>0.19800634750482499</v>
      </c>
      <c r="F192" s="25">
        <v>-4.0411031927791399</v>
      </c>
      <c r="G192" s="11">
        <f t="shared" si="22"/>
        <v>-2.8051404596155702</v>
      </c>
      <c r="H192" s="11">
        <f t="shared" si="23"/>
        <v>1.4688909005187307</v>
      </c>
      <c r="I192" s="35">
        <f t="shared" si="24"/>
        <v>0.34039287725414308</v>
      </c>
      <c r="J192" s="35">
        <f t="shared" si="25"/>
        <v>0.34039287725414308</v>
      </c>
      <c r="K192" s="35">
        <f t="shared" si="26"/>
        <v>0.34039287725414308</v>
      </c>
      <c r="L192" s="39">
        <f t="shared" si="27"/>
        <v>123.05638802581052</v>
      </c>
      <c r="M192" s="35">
        <f t="shared" si="28"/>
        <v>126.36578294452096</v>
      </c>
      <c r="N192" s="6" t="e">
        <f ca="1"/>
        <v>#NAME?</v>
      </c>
      <c r="O192" s="6" t="e">
        <f ca="1"/>
        <v>#NAME?</v>
      </c>
      <c r="P192" t="e">
        <f t="shared" ca="1" si="29"/>
        <v>#NAME?</v>
      </c>
      <c r="Q192" t="e">
        <f t="shared" ca="1" si="30"/>
        <v>#NAME?</v>
      </c>
      <c r="R192" t="e">
        <f t="shared" ca="1" si="31"/>
        <v>#NAME?</v>
      </c>
      <c r="S192">
        <v>123.05638961011745</v>
      </c>
      <c r="T192">
        <v>126.36580245148824</v>
      </c>
      <c r="U192">
        <v>0</v>
      </c>
      <c r="V192" t="e">
        <f>0.33*#REF!+0.67*#REF!</f>
        <v>#REF!</v>
      </c>
      <c r="W192">
        <v>0</v>
      </c>
    </row>
    <row r="193" spans="2:23">
      <c r="B193">
        <v>121.06</v>
      </c>
      <c r="C193">
        <v>115.5</v>
      </c>
      <c r="D193" s="7">
        <f t="shared" si="21"/>
        <v>118.28</v>
      </c>
      <c r="E193" s="23">
        <v>0.72215253185138895</v>
      </c>
      <c r="F193" s="25">
        <v>-4.4003950292076199</v>
      </c>
      <c r="G193" s="11">
        <f t="shared" si="22"/>
        <v>-9.3197832225166142</v>
      </c>
      <c r="H193" s="11">
        <f t="shared" si="23"/>
        <v>6.5146427629010439</v>
      </c>
      <c r="I193" s="35">
        <f t="shared" si="24"/>
        <v>7.6750179280336214E-2</v>
      </c>
      <c r="J193" s="35">
        <f t="shared" si="25"/>
        <v>7.6750179280336214E-2</v>
      </c>
      <c r="K193" s="35">
        <f t="shared" si="26"/>
        <v>7.6750179280336214E-2</v>
      </c>
      <c r="L193" s="39">
        <f t="shared" si="27"/>
        <v>122.68979938851712</v>
      </c>
      <c r="M193" s="35">
        <f t="shared" si="28"/>
        <v>126.22471674604353</v>
      </c>
      <c r="N193" s="6" t="e">
        <f ca="1"/>
        <v>#NAME?</v>
      </c>
      <c r="O193" s="6" t="e">
        <f ca="1"/>
        <v>#NAME?</v>
      </c>
      <c r="P193" t="e">
        <f t="shared" ca="1" si="29"/>
        <v>#NAME?</v>
      </c>
      <c r="Q193" t="e">
        <f t="shared" ca="1" si="30"/>
        <v>#NAME?</v>
      </c>
      <c r="R193" t="e">
        <f t="shared" ca="1" si="31"/>
        <v>#NAME?</v>
      </c>
      <c r="S193">
        <v>122.68980088617758</v>
      </c>
      <c r="T193">
        <v>126.22473557535091</v>
      </c>
      <c r="U193">
        <v>0</v>
      </c>
      <c r="V193" t="e">
        <f>0.33*#REF!+0.67*#REF!</f>
        <v>#REF!</v>
      </c>
      <c r="W193">
        <v>0</v>
      </c>
    </row>
    <row r="194" spans="2:23">
      <c r="B194">
        <v>120</v>
      </c>
      <c r="C194">
        <v>116.75</v>
      </c>
      <c r="D194" s="7">
        <f t="shared" si="21"/>
        <v>118.375</v>
      </c>
      <c r="E194" s="23">
        <v>2.9184382044023698</v>
      </c>
      <c r="F194" s="25">
        <v>-3.6221878122344502</v>
      </c>
      <c r="G194" s="11">
        <f t="shared" si="22"/>
        <v>-38.858790960634856</v>
      </c>
      <c r="H194" s="11">
        <f t="shared" si="23"/>
        <v>29.539007738118244</v>
      </c>
      <c r="I194" s="35">
        <f t="shared" si="24"/>
        <v>1.6926770338151244E-2</v>
      </c>
      <c r="J194" s="35">
        <f t="shared" si="25"/>
        <v>0.05</v>
      </c>
      <c r="K194" s="35">
        <f t="shared" si="26"/>
        <v>0.05</v>
      </c>
      <c r="L194" s="39">
        <f t="shared" si="27"/>
        <v>122.47405941909126</v>
      </c>
      <c r="M194" s="35">
        <f t="shared" si="28"/>
        <v>126.13095031286971</v>
      </c>
      <c r="N194" s="6" t="e">
        <f ca="1"/>
        <v>#NAME?</v>
      </c>
      <c r="O194" s="6" t="e">
        <f ca="1"/>
        <v>#NAME?</v>
      </c>
      <c r="P194" t="e">
        <f t="shared" ca="1" si="29"/>
        <v>#NAME?</v>
      </c>
      <c r="Q194" t="e">
        <f t="shared" ca="1" si="30"/>
        <v>#NAME?</v>
      </c>
      <c r="R194" t="e">
        <f t="shared" ca="1" si="31"/>
        <v>#NAME?</v>
      </c>
      <c r="S194">
        <v>122.47406084186869</v>
      </c>
      <c r="T194">
        <v>126.13096870701385</v>
      </c>
      <c r="U194">
        <v>0</v>
      </c>
      <c r="V194" t="e">
        <f>0.33*#REF!+0.67*#REF!</f>
        <v>#REF!</v>
      </c>
      <c r="W194">
        <v>0</v>
      </c>
    </row>
    <row r="195" spans="2:23">
      <c r="B195">
        <v>123.25</v>
      </c>
      <c r="C195">
        <v>119.06</v>
      </c>
      <c r="D195" s="7">
        <f t="shared" si="21"/>
        <v>121.155</v>
      </c>
      <c r="E195" s="23">
        <v>1.1352975413480699</v>
      </c>
      <c r="F195" s="25">
        <v>-2.1301798267640302</v>
      </c>
      <c r="G195" s="11">
        <f t="shared" si="22"/>
        <v>-28.055765991821904</v>
      </c>
      <c r="H195" s="11">
        <f t="shared" si="23"/>
        <v>1</v>
      </c>
      <c r="I195" s="35">
        <f t="shared" si="24"/>
        <v>0.5</v>
      </c>
      <c r="J195" s="35">
        <f t="shared" si="25"/>
        <v>0.5</v>
      </c>
      <c r="K195" s="35">
        <f t="shared" si="26"/>
        <v>0.5</v>
      </c>
      <c r="L195" s="39">
        <f t="shared" si="27"/>
        <v>121.81452970954564</v>
      </c>
      <c r="M195" s="35">
        <f t="shared" si="28"/>
        <v>125.0518451620387</v>
      </c>
      <c r="N195" s="6" t="e">
        <f ca="1"/>
        <v>#NAME?</v>
      </c>
      <c r="O195" s="6" t="e">
        <f ca="1"/>
        <v>#NAME?</v>
      </c>
      <c r="P195" t="e">
        <f t="shared" ca="1" si="29"/>
        <v>#NAME?</v>
      </c>
      <c r="Q195" t="e">
        <f t="shared" ca="1" si="30"/>
        <v>#NAME?</v>
      </c>
      <c r="R195" t="e">
        <f t="shared" ca="1" si="31"/>
        <v>#NAME?</v>
      </c>
      <c r="S195">
        <v>121.81453042093435</v>
      </c>
      <c r="T195">
        <v>125.05185913549397</v>
      </c>
      <c r="U195">
        <v>0</v>
      </c>
      <c r="V195" t="e">
        <f>0.33*#REF!+0.67*#REF!</f>
        <v>#REF!</v>
      </c>
      <c r="W195">
        <v>0</v>
      </c>
    </row>
    <row r="196" spans="2:23">
      <c r="B196">
        <v>122.75</v>
      </c>
      <c r="C196">
        <v>119.06</v>
      </c>
      <c r="D196" s="7">
        <f t="shared" si="21"/>
        <v>120.905</v>
      </c>
      <c r="E196" s="23">
        <v>-1.08479453606972</v>
      </c>
      <c r="F196" s="25">
        <v>-2.72853126259499</v>
      </c>
      <c r="G196" s="11">
        <f t="shared" si="22"/>
        <v>21.68150838183336</v>
      </c>
      <c r="H196" s="11">
        <f t="shared" si="23"/>
        <v>1</v>
      </c>
      <c r="I196" s="35">
        <f t="shared" si="24"/>
        <v>0.5</v>
      </c>
      <c r="J196" s="35">
        <f t="shared" si="25"/>
        <v>0.5</v>
      </c>
      <c r="K196" s="35">
        <f t="shared" si="26"/>
        <v>0.5</v>
      </c>
      <c r="L196" s="39">
        <f t="shared" si="27"/>
        <v>121.35976485477282</v>
      </c>
      <c r="M196" s="35">
        <f t="shared" si="28"/>
        <v>124.12882508522223</v>
      </c>
      <c r="N196" s="6" t="e">
        <f ca="1"/>
        <v>#NAME?</v>
      </c>
      <c r="O196" s="6" t="e">
        <f ca="1"/>
        <v>#NAME?</v>
      </c>
      <c r="P196" t="e">
        <f t="shared" ca="1" si="29"/>
        <v>#NAME?</v>
      </c>
      <c r="Q196" t="e">
        <f t="shared" ca="1" si="30"/>
        <v>#NAME?</v>
      </c>
      <c r="R196" t="e">
        <f t="shared" ca="1" si="31"/>
        <v>#NAME?</v>
      </c>
      <c r="S196">
        <v>121.35976521046717</v>
      </c>
      <c r="T196">
        <v>124.12883565423728</v>
      </c>
      <c r="U196">
        <v>0</v>
      </c>
      <c r="V196" t="e">
        <f>0.33*#REF!+0.67*#REF!</f>
        <v>#REF!</v>
      </c>
      <c r="W196">
        <v>0</v>
      </c>
    </row>
    <row r="197" spans="2:23">
      <c r="B197">
        <v>119.19</v>
      </c>
      <c r="C197">
        <v>115.06</v>
      </c>
      <c r="D197" s="7">
        <f t="shared" si="21"/>
        <v>117.125</v>
      </c>
      <c r="E197" s="23">
        <v>-0.93030976407213795</v>
      </c>
      <c r="F197" s="25">
        <v>-3.0489370051092801</v>
      </c>
      <c r="G197" s="11">
        <f t="shared" si="22"/>
        <v>16.968307264727308</v>
      </c>
      <c r="H197" s="11">
        <f t="shared" si="23"/>
        <v>4.7132011171060526</v>
      </c>
      <c r="I197" s="35">
        <f t="shared" si="24"/>
        <v>0.10608501262237764</v>
      </c>
      <c r="J197" s="35">
        <f t="shared" si="25"/>
        <v>0.10608501262237764</v>
      </c>
      <c r="K197" s="35">
        <f t="shared" si="26"/>
        <v>0.10608501262237764</v>
      </c>
      <c r="L197" s="39">
        <f t="shared" si="27"/>
        <v>120.91051977170143</v>
      </c>
      <c r="M197" s="35">
        <f t="shared" si="28"/>
        <v>123.95811810531848</v>
      </c>
      <c r="N197" s="6" t="e">
        <f ca="1"/>
        <v>#NAME?</v>
      </c>
      <c r="O197" s="6" t="e">
        <f ca="1"/>
        <v>#NAME?</v>
      </c>
      <c r="P197" t="e">
        <f t="shared" ca="1" si="29"/>
        <v>#NAME?</v>
      </c>
      <c r="Q197" t="e">
        <f t="shared" ca="1" si="30"/>
        <v>#NAME?</v>
      </c>
      <c r="R197" t="e">
        <f t="shared" ca="1" si="31"/>
        <v>#NAME?</v>
      </c>
      <c r="S197">
        <v>120.91051953464188</v>
      </c>
      <c r="T197">
        <v>123.95812789025152</v>
      </c>
      <c r="U197">
        <v>0</v>
      </c>
      <c r="V197" t="e">
        <f>0.33*#REF!+0.67*#REF!</f>
        <v>#REF!</v>
      </c>
      <c r="W197">
        <v>0</v>
      </c>
    </row>
    <row r="198" spans="2:23">
      <c r="B198">
        <v>115.06</v>
      </c>
      <c r="C198">
        <v>111.06</v>
      </c>
      <c r="D198" s="7">
        <f t="shared" ref="D198:D256" si="32">(B198+C198)/2</f>
        <v>113.06</v>
      </c>
      <c r="E198" s="23">
        <v>-0.85860246584269995</v>
      </c>
      <c r="F198" s="25">
        <v>-3.8105332026770302</v>
      </c>
      <c r="G198" s="11">
        <f t="shared" si="22"/>
        <v>12.698021287476738</v>
      </c>
      <c r="H198" s="11">
        <f t="shared" si="23"/>
        <v>4.2702859772505697</v>
      </c>
      <c r="I198" s="35">
        <f t="shared" si="24"/>
        <v>0.11708817691922492</v>
      </c>
      <c r="J198" s="35">
        <f t="shared" si="25"/>
        <v>0.11708817691922492</v>
      </c>
      <c r="K198" s="35">
        <f t="shared" si="26"/>
        <v>0.11708817691922492</v>
      </c>
      <c r="L198" s="39">
        <f t="shared" si="27"/>
        <v>119.99131672376458</v>
      </c>
      <c r="M198" s="35">
        <f t="shared" si="28"/>
        <v>123.72588533433508</v>
      </c>
      <c r="N198" s="6" t="e">
        <f ca="1"/>
        <v>#NAME?</v>
      </c>
      <c r="O198" s="6" t="e">
        <f ca="1"/>
        <v>#NAME?</v>
      </c>
      <c r="P198" t="e">
        <f t="shared" ca="1" si="29"/>
        <v>#NAME?</v>
      </c>
      <c r="Q198" t="e">
        <f t="shared" ca="1" si="30"/>
        <v>#NAME?</v>
      </c>
      <c r="R198" t="e">
        <f t="shared" ca="1" si="31"/>
        <v>#NAME?</v>
      </c>
      <c r="S198">
        <v>119.99131573401355</v>
      </c>
      <c r="T198">
        <v>123.72589429129654</v>
      </c>
      <c r="U198">
        <v>0</v>
      </c>
      <c r="V198" t="e">
        <f>0.33*#REF!+0.67*#REF!</f>
        <v>#REF!</v>
      </c>
      <c r="W198">
        <v>0</v>
      </c>
    </row>
    <row r="199" spans="2:23">
      <c r="B199">
        <v>116.69</v>
      </c>
      <c r="C199">
        <v>113.12</v>
      </c>
      <c r="D199" s="7">
        <f t="shared" si="32"/>
        <v>114.905</v>
      </c>
      <c r="E199" s="23">
        <v>3.74811322179887</v>
      </c>
      <c r="F199" s="25">
        <v>-4.0690221019589599</v>
      </c>
      <c r="G199" s="11">
        <f t="shared" si="22"/>
        <v>-42.649214798348922</v>
      </c>
      <c r="H199" s="11">
        <f t="shared" si="23"/>
        <v>55.347236085825656</v>
      </c>
      <c r="I199" s="35">
        <f t="shared" si="24"/>
        <v>9.0338747760531669E-3</v>
      </c>
      <c r="J199" s="35">
        <f t="shared" si="25"/>
        <v>0.05</v>
      </c>
      <c r="K199" s="35">
        <f t="shared" si="26"/>
        <v>0.05</v>
      </c>
      <c r="L199" s="39">
        <f t="shared" si="27"/>
        <v>119.73700088757634</v>
      </c>
      <c r="M199" s="35">
        <f t="shared" si="28"/>
        <v>123.6261632231661</v>
      </c>
      <c r="N199" s="6" t="e">
        <f ca="1"/>
        <v>#NAME?</v>
      </c>
      <c r="O199" s="6" t="e">
        <f ca="1"/>
        <v>#NAME?</v>
      </c>
      <c r="P199" t="e">
        <f t="shared" ca="1" si="29"/>
        <v>#NAME?</v>
      </c>
      <c r="Q199" t="e">
        <f t="shared" ca="1" si="30"/>
        <v>#NAME?</v>
      </c>
      <c r="R199" t="e">
        <f t="shared" ca="1" si="31"/>
        <v>#NAME?</v>
      </c>
      <c r="S199">
        <v>119.73699994731287</v>
      </c>
      <c r="T199">
        <v>123.62617193269695</v>
      </c>
      <c r="U199">
        <v>0</v>
      </c>
      <c r="V199" t="e">
        <f>0.33*#REF!+0.67*#REF!</f>
        <v>#REF!</v>
      </c>
      <c r="W199">
        <v>0</v>
      </c>
    </row>
    <row r="200" spans="2:23">
      <c r="B200">
        <v>114.87</v>
      </c>
      <c r="C200">
        <v>110</v>
      </c>
      <c r="D200" s="7">
        <f t="shared" si="32"/>
        <v>112.435</v>
      </c>
      <c r="E200" s="23">
        <v>5.6402149672212696</v>
      </c>
      <c r="F200" s="25">
        <v>-1.37278903017323</v>
      </c>
      <c r="G200" s="11">
        <f t="shared" si="22"/>
        <v>-76.320590227656069</v>
      </c>
      <c r="H200" s="11">
        <f t="shared" si="23"/>
        <v>33.671375429307147</v>
      </c>
      <c r="I200" s="35">
        <f t="shared" si="24"/>
        <v>1.484940824736272E-2</v>
      </c>
      <c r="J200" s="35">
        <f t="shared" si="25"/>
        <v>0.05</v>
      </c>
      <c r="K200" s="35">
        <f t="shared" si="26"/>
        <v>0.05</v>
      </c>
      <c r="L200" s="39">
        <f t="shared" si="27"/>
        <v>119.37190084319752</v>
      </c>
      <c r="M200" s="35">
        <f t="shared" si="28"/>
        <v>123.51980666366688</v>
      </c>
      <c r="N200" s="6" t="e">
        <f ca="1"/>
        <v>#NAME?</v>
      </c>
      <c r="O200" s="6" t="e">
        <f ca="1"/>
        <v>#NAME?</v>
      </c>
      <c r="P200" t="e">
        <f t="shared" ca="1" si="29"/>
        <v>#NAME?</v>
      </c>
      <c r="Q200" t="e">
        <f t="shared" ca="1" si="30"/>
        <v>#NAME?</v>
      </c>
      <c r="R200" t="e">
        <f t="shared" ca="1" si="31"/>
        <v>#NAME?</v>
      </c>
      <c r="S200">
        <v>119.37189994994722</v>
      </c>
      <c r="T200">
        <v>123.51981513312819</v>
      </c>
      <c r="U200">
        <v>0</v>
      </c>
      <c r="V200" t="e">
        <f>0.33*#REF!+0.67*#REF!</f>
        <v>#REF!</v>
      </c>
      <c r="W200">
        <v>0</v>
      </c>
    </row>
    <row r="201" spans="2:23">
      <c r="B201">
        <v>110.87</v>
      </c>
      <c r="C201">
        <v>105</v>
      </c>
      <c r="D201" s="7">
        <f t="shared" si="32"/>
        <v>107.935</v>
      </c>
      <c r="E201" s="23">
        <v>-2.0293928912536199</v>
      </c>
      <c r="F201" s="25">
        <v>0.25445649363087902</v>
      </c>
      <c r="G201" s="11">
        <f t="shared" si="22"/>
        <v>-82.853235544033595</v>
      </c>
      <c r="H201" s="11">
        <f t="shared" si="23"/>
        <v>6.5326453163775255</v>
      </c>
      <c r="I201" s="35">
        <f t="shared" si="24"/>
        <v>7.6538672434348448E-2</v>
      </c>
      <c r="J201" s="35">
        <f t="shared" si="25"/>
        <v>7.6538672434348448E-2</v>
      </c>
      <c r="K201" s="35">
        <f t="shared" si="26"/>
        <v>7.6538672434348448E-2</v>
      </c>
      <c r="L201" s="39">
        <f t="shared" si="27"/>
        <v>118.4965356358959</v>
      </c>
      <c r="M201" s="35">
        <f t="shared" si="28"/>
        <v>123.32756941579512</v>
      </c>
      <c r="N201" s="6" t="e">
        <f ca="1"/>
        <v>#NAME?</v>
      </c>
      <c r="O201" s="6" t="e">
        <f ca="1"/>
        <v>#NAME?</v>
      </c>
      <c r="P201" t="e">
        <f t="shared" ca="1" si="29"/>
        <v>#NAME?</v>
      </c>
      <c r="Q201" t="e">
        <f t="shared" ca="1" si="30"/>
        <v>#NAME?</v>
      </c>
      <c r="R201" t="e">
        <f t="shared" ca="1" si="31"/>
        <v>#NAME?</v>
      </c>
      <c r="S201">
        <v>118.4965352202899</v>
      </c>
      <c r="T201">
        <v>123.3275776351113</v>
      </c>
      <c r="U201">
        <v>0</v>
      </c>
      <c r="V201" t="e">
        <f>0.33*#REF!+0.67*#REF!</f>
        <v>#REF!</v>
      </c>
      <c r="W201">
        <v>0</v>
      </c>
    </row>
    <row r="202" spans="2:23">
      <c r="B202">
        <v>107.25</v>
      </c>
      <c r="C202">
        <v>104.69</v>
      </c>
      <c r="D202" s="7">
        <f t="shared" si="32"/>
        <v>105.97</v>
      </c>
      <c r="E202" s="23">
        <v>-13.017668713741701</v>
      </c>
      <c r="F202" s="25">
        <v>-1.9476756321356401</v>
      </c>
      <c r="G202" s="11">
        <f t="shared" si="22"/>
        <v>81.490649244885418</v>
      </c>
      <c r="H202" s="11">
        <f t="shared" si="23"/>
        <v>1</v>
      </c>
      <c r="I202" s="35">
        <f t="shared" si="24"/>
        <v>0.5</v>
      </c>
      <c r="J202" s="35">
        <f t="shared" si="25"/>
        <v>0.5</v>
      </c>
      <c r="K202" s="35">
        <f t="shared" si="26"/>
        <v>0.5</v>
      </c>
      <c r="L202" s="39">
        <f t="shared" si="27"/>
        <v>112.23326781794795</v>
      </c>
      <c r="M202" s="35">
        <f t="shared" si="28"/>
        <v>120.55399401633333</v>
      </c>
      <c r="N202" s="6" t="e">
        <f ca="1"/>
        <v>#NAME?</v>
      </c>
      <c r="O202" s="6" t="e">
        <f ca="1"/>
        <v>#NAME?</v>
      </c>
      <c r="P202" t="e">
        <f t="shared" ca="1" si="29"/>
        <v>#NAME?</v>
      </c>
      <c r="Q202" t="e">
        <f t="shared" ca="1" si="30"/>
        <v>#NAME?</v>
      </c>
      <c r="R202" t="e">
        <f t="shared" ca="1" si="31"/>
        <v>#NAME?</v>
      </c>
      <c r="S202">
        <v>112.23326761014495</v>
      </c>
      <c r="T202">
        <v>120.5540001288697</v>
      </c>
      <c r="U202">
        <v>0</v>
      </c>
      <c r="V202" t="e">
        <f>0.33*#REF!+0.67*#REF!</f>
        <v>#REF!</v>
      </c>
      <c r="W202">
        <v>0</v>
      </c>
    </row>
    <row r="203" spans="2:23">
      <c r="B203">
        <v>108.87</v>
      </c>
      <c r="C203">
        <v>103.87</v>
      </c>
      <c r="D203" s="7">
        <f t="shared" si="32"/>
        <v>106.37</v>
      </c>
      <c r="E203" s="23">
        <v>-14.3548625675149</v>
      </c>
      <c r="F203" s="25">
        <v>-6.7871808524512103</v>
      </c>
      <c r="G203" s="11">
        <f t="shared" si="22"/>
        <v>64.694557214471331</v>
      </c>
      <c r="H203" s="11">
        <f t="shared" si="23"/>
        <v>16.796092030414087</v>
      </c>
      <c r="I203" s="35">
        <f t="shared" si="24"/>
        <v>2.976882950478053E-2</v>
      </c>
      <c r="J203" s="35">
        <f t="shared" si="25"/>
        <v>0.05</v>
      </c>
      <c r="K203" s="35">
        <f t="shared" si="26"/>
        <v>0.05</v>
      </c>
      <c r="L203" s="39">
        <f t="shared" si="27"/>
        <v>111.94010442705054</v>
      </c>
      <c r="M203" s="35">
        <f t="shared" si="28"/>
        <v>120.33864677660127</v>
      </c>
      <c r="N203" s="6" t="e">
        <f ca="1"/>
        <v>#NAME?</v>
      </c>
      <c r="O203" s="6" t="e">
        <f ca="1"/>
        <v>#NAME?</v>
      </c>
      <c r="P203" t="e">
        <f t="shared" ca="1" si="29"/>
        <v>#NAME?</v>
      </c>
      <c r="Q203" t="e">
        <f t="shared" ca="1" si="30"/>
        <v>#NAME?</v>
      </c>
      <c r="R203" t="e">
        <f t="shared" ca="1" si="31"/>
        <v>#NAME?</v>
      </c>
      <c r="S203">
        <v>111.9401042296377</v>
      </c>
      <c r="T203">
        <v>120.33865273138889</v>
      </c>
      <c r="U203">
        <v>0</v>
      </c>
      <c r="V203" t="e">
        <f>0.33*#REF!+0.67*#REF!</f>
        <v>#REF!</v>
      </c>
      <c r="W203">
        <v>0</v>
      </c>
    </row>
    <row r="204" spans="2:23">
      <c r="B204">
        <v>109</v>
      </c>
      <c r="C204">
        <v>104.69</v>
      </c>
      <c r="D204" s="7">
        <f t="shared" si="32"/>
        <v>106.845</v>
      </c>
      <c r="E204" s="23">
        <v>-5.6616553461972297</v>
      </c>
      <c r="F204" s="25">
        <v>-8.1519430805458892</v>
      </c>
      <c r="G204" s="11">
        <f t="shared" si="22"/>
        <v>34.780599332303261</v>
      </c>
      <c r="H204" s="11">
        <f t="shared" si="23"/>
        <v>29.91395788216807</v>
      </c>
      <c r="I204" s="35">
        <f t="shared" si="24"/>
        <v>1.6714605334724152E-2</v>
      </c>
      <c r="J204" s="35">
        <f t="shared" si="25"/>
        <v>0.05</v>
      </c>
      <c r="K204" s="35">
        <f t="shared" si="26"/>
        <v>0.05</v>
      </c>
      <c r="L204" s="39">
        <f t="shared" si="27"/>
        <v>111.685349205698</v>
      </c>
      <c r="M204" s="35">
        <f t="shared" si="28"/>
        <v>120.12231433732869</v>
      </c>
      <c r="N204" s="6" t="e">
        <f ca="1"/>
        <v>#NAME?</v>
      </c>
      <c r="O204" s="6" t="e">
        <f ca="1"/>
        <v>#NAME?</v>
      </c>
      <c r="P204" t="e">
        <f t="shared" ca="1" si="29"/>
        <v>#NAME?</v>
      </c>
      <c r="Q204" t="e">
        <f t="shared" ca="1" si="30"/>
        <v>#NAME?</v>
      </c>
      <c r="R204" t="e">
        <f t="shared" ca="1" si="31"/>
        <v>#NAME?</v>
      </c>
      <c r="S204">
        <v>111.68534901815582</v>
      </c>
      <c r="T204">
        <v>120.12232013855807</v>
      </c>
      <c r="U204">
        <v>0</v>
      </c>
      <c r="V204" t="e">
        <f>0.33*#REF!+0.67*#REF!</f>
        <v>#REF!</v>
      </c>
      <c r="W204">
        <v>0</v>
      </c>
    </row>
    <row r="205" spans="2:23">
      <c r="B205">
        <v>108.5</v>
      </c>
      <c r="C205">
        <v>105.44</v>
      </c>
      <c r="D205" s="7">
        <f t="shared" si="32"/>
        <v>106.97</v>
      </c>
      <c r="E205" s="23">
        <v>-7.0882318882767201</v>
      </c>
      <c r="F205" s="25">
        <v>-8.1001909303017907</v>
      </c>
      <c r="G205" s="11">
        <f t="shared" si="22"/>
        <v>41.188187867099266</v>
      </c>
      <c r="H205" s="11">
        <f t="shared" si="23"/>
        <v>1</v>
      </c>
      <c r="I205" s="35">
        <f t="shared" si="24"/>
        <v>0.5</v>
      </c>
      <c r="J205" s="35">
        <f t="shared" si="25"/>
        <v>0.5</v>
      </c>
      <c r="K205" s="35">
        <f t="shared" si="26"/>
        <v>0.5</v>
      </c>
      <c r="L205" s="39">
        <f t="shared" si="27"/>
        <v>109.327674602849</v>
      </c>
      <c r="M205" s="35">
        <f t="shared" si="28"/>
        <v>117.42365440370877</v>
      </c>
      <c r="N205" s="6" t="e">
        <f ca="1"/>
        <v>#NAME?</v>
      </c>
      <c r="O205" s="6" t="e">
        <f ca="1"/>
        <v>#NAME?</v>
      </c>
      <c r="P205" t="e">
        <f t="shared" ca="1" si="29"/>
        <v>#NAME?</v>
      </c>
      <c r="Q205" t="e">
        <f t="shared" ca="1" si="30"/>
        <v>#NAME?</v>
      </c>
      <c r="R205" t="e">
        <f t="shared" ca="1" si="31"/>
        <v>#NAME?</v>
      </c>
      <c r="S205">
        <v>109.32767450907791</v>
      </c>
      <c r="T205">
        <v>117.42365873118803</v>
      </c>
      <c r="U205">
        <v>0</v>
      </c>
      <c r="V205" t="e">
        <f>0.33*#REF!+0.67*#REF!</f>
        <v>#REF!</v>
      </c>
      <c r="W205">
        <v>0</v>
      </c>
    </row>
    <row r="206" spans="2:23">
      <c r="B206">
        <v>113.06</v>
      </c>
      <c r="C206">
        <v>107</v>
      </c>
      <c r="D206" s="7">
        <f t="shared" si="32"/>
        <v>110.03</v>
      </c>
      <c r="E206" s="23">
        <v>-4.7974865907278099</v>
      </c>
      <c r="F206" s="25">
        <v>-11.331528262024101</v>
      </c>
      <c r="G206" s="11">
        <f t="shared" si="22"/>
        <v>22.946588068884491</v>
      </c>
      <c r="H206" s="11">
        <f t="shared" si="23"/>
        <v>18.241599798214775</v>
      </c>
      <c r="I206" s="35">
        <f t="shared" si="24"/>
        <v>2.740987662984103E-2</v>
      </c>
      <c r="J206" s="35">
        <f t="shared" si="25"/>
        <v>0.05</v>
      </c>
      <c r="K206" s="35">
        <f t="shared" si="26"/>
        <v>0.05</v>
      </c>
      <c r="L206" s="39">
        <f t="shared" si="27"/>
        <v>109.36279087270654</v>
      </c>
      <c r="M206" s="35">
        <f t="shared" si="28"/>
        <v>117.22213281543371</v>
      </c>
      <c r="N206" s="6" t="e">
        <f ca="1"/>
        <v>#NAME?</v>
      </c>
      <c r="O206" s="6" t="e">
        <f ca="1"/>
        <v>#NAME?</v>
      </c>
      <c r="P206" t="e">
        <f t="shared" ca="1" si="29"/>
        <v>#NAME?</v>
      </c>
      <c r="Q206" t="e">
        <f t="shared" ca="1" si="30"/>
        <v>#NAME?</v>
      </c>
      <c r="R206" t="e">
        <f t="shared" ca="1" si="31"/>
        <v>#NAME?</v>
      </c>
      <c r="S206" t="e">
        <v>#N/A</v>
      </c>
      <c r="T206" t="e">
        <v>#N/A</v>
      </c>
      <c r="U206" t="e">
        <v>#N/A</v>
      </c>
      <c r="V206" t="e">
        <f>0.33*#REF!+0.67*#REF!</f>
        <v>#REF!</v>
      </c>
      <c r="W206" t="e">
        <v>#N/A</v>
      </c>
    </row>
    <row r="207" spans="2:23">
      <c r="B207">
        <v>93</v>
      </c>
      <c r="C207">
        <v>89</v>
      </c>
      <c r="D207" s="7">
        <f t="shared" si="32"/>
        <v>91</v>
      </c>
      <c r="E207" s="23">
        <v>4.9571994046266097</v>
      </c>
      <c r="F207" s="25">
        <v>-11.550920181112501</v>
      </c>
      <c r="G207" s="11">
        <f t="shared" si="22"/>
        <v>-23.227101499644402</v>
      </c>
      <c r="H207" s="11">
        <f t="shared" si="23"/>
        <v>46.173689568528893</v>
      </c>
      <c r="I207" s="35">
        <f t="shared" si="24"/>
        <v>1.0828677644612365E-2</v>
      </c>
      <c r="J207" s="35">
        <f t="shared" si="25"/>
        <v>0.05</v>
      </c>
      <c r="K207" s="35">
        <f t="shared" si="26"/>
        <v>0.05</v>
      </c>
      <c r="L207" s="39">
        <f t="shared" si="27"/>
        <v>108.44465132907121</v>
      </c>
      <c r="M207" s="35">
        <f t="shared" si="28"/>
        <v>117.00269577827466</v>
      </c>
      <c r="N207" s="6" t="e">
        <f ca="1"/>
        <v>#NAME?</v>
      </c>
      <c r="O207" s="6" t="e">
        <f ca="1"/>
        <v>#NAME?</v>
      </c>
      <c r="P207" t="e">
        <f t="shared" ca="1" si="29"/>
        <v>#NAME?</v>
      </c>
      <c r="Q207" t="e">
        <f t="shared" ca="1" si="30"/>
        <v>#NAME?</v>
      </c>
      <c r="R207" t="e">
        <f t="shared" ca="1" si="31"/>
        <v>#NAME?</v>
      </c>
      <c r="S207" t="e">
        <v>#N/A</v>
      </c>
      <c r="T207" t="e">
        <v>#N/A</v>
      </c>
      <c r="U207" t="e">
        <v>#N/A</v>
      </c>
      <c r="V207" t="e">
        <f>0.33*#REF!+0.67*#REF!</f>
        <v>#REF!</v>
      </c>
      <c r="W207" t="e">
        <v>#N/A</v>
      </c>
    </row>
    <row r="208" spans="2:23">
      <c r="B208">
        <v>94.62</v>
      </c>
      <c r="C208">
        <v>92.5</v>
      </c>
      <c r="D208" s="7">
        <f t="shared" si="32"/>
        <v>93.56</v>
      </c>
      <c r="E208" s="23">
        <v>11.741067876870099</v>
      </c>
      <c r="F208" s="25">
        <v>-8.9267303792332093</v>
      </c>
      <c r="G208" s="11">
        <f t="shared" si="22"/>
        <v>-52.754283005908931</v>
      </c>
      <c r="H208" s="11">
        <f t="shared" si="23"/>
        <v>29.52718150626453</v>
      </c>
      <c r="I208" s="35">
        <f t="shared" si="24"/>
        <v>1.6933549851140355E-2</v>
      </c>
      <c r="J208" s="35">
        <f t="shared" si="25"/>
        <v>0.05</v>
      </c>
      <c r="K208" s="35">
        <f t="shared" si="26"/>
        <v>0.05</v>
      </c>
      <c r="L208" s="39">
        <f t="shared" si="27"/>
        <v>107.70041876261764</v>
      </c>
      <c r="M208" s="35">
        <f t="shared" si="28"/>
        <v>116.77013885288322</v>
      </c>
      <c r="N208" s="6" t="e">
        <f ca="1"/>
        <v>#NAME?</v>
      </c>
      <c r="O208" s="6" t="e">
        <f ca="1"/>
        <v>#NAME?</v>
      </c>
      <c r="P208" t="e">
        <f t="shared" ca="1" si="29"/>
        <v>#NAME?</v>
      </c>
      <c r="Q208" t="e">
        <f t="shared" ca="1" si="30"/>
        <v>#NAME?</v>
      </c>
      <c r="R208" t="e">
        <f t="shared" ca="1" si="31"/>
        <v>#NAME?</v>
      </c>
      <c r="S208" t="e">
        <v>#N/A</v>
      </c>
      <c r="T208" t="e">
        <v>#N/A</v>
      </c>
      <c r="U208" t="e">
        <v>#N/A</v>
      </c>
      <c r="V208" t="e">
        <f>0.33*#REF!+0.67*#REF!</f>
        <v>#REF!</v>
      </c>
      <c r="W208" t="e">
        <v>#N/A</v>
      </c>
    </row>
    <row r="209" spans="2:23">
      <c r="B209">
        <v>95.12</v>
      </c>
      <c r="C209">
        <v>92.12</v>
      </c>
      <c r="D209" s="7">
        <f t="shared" si="32"/>
        <v>93.62</v>
      </c>
      <c r="E209" s="23">
        <v>8.2053101652106992</v>
      </c>
      <c r="F209" s="25">
        <v>-4.7170883942657698</v>
      </c>
      <c r="G209" s="11">
        <f t="shared" ref="G209:G256" si="33">IF(F209&lt;&gt;0,DEGREES(ATAN(E209/F209)),0)</f>
        <v>-60.106162225088049</v>
      </c>
      <c r="H209" s="11">
        <f t="shared" si="23"/>
        <v>7.3518792191791178</v>
      </c>
      <c r="I209" s="35">
        <f t="shared" si="24"/>
        <v>6.8009822399643288E-2</v>
      </c>
      <c r="J209" s="35">
        <f t="shared" si="25"/>
        <v>6.8009822399643288E-2</v>
      </c>
      <c r="K209" s="35">
        <f t="shared" si="26"/>
        <v>6.8009822399643288E-2</v>
      </c>
      <c r="L209" s="39">
        <f t="shared" si="27"/>
        <v>106.74281198325943</v>
      </c>
      <c r="M209" s="35">
        <f t="shared" si="28"/>
        <v>116.42916049311007</v>
      </c>
      <c r="N209" s="6" t="e">
        <f ca="1"/>
        <v>#NAME?</v>
      </c>
      <c r="O209" s="6" t="e">
        <f ca="1"/>
        <v>#NAME?</v>
      </c>
      <c r="P209" t="e">
        <f t="shared" ca="1" si="29"/>
        <v>#NAME?</v>
      </c>
      <c r="Q209" t="e">
        <f t="shared" ca="1" si="30"/>
        <v>#NAME?</v>
      </c>
      <c r="R209" t="e">
        <f t="shared" ca="1" si="31"/>
        <v>#NAME?</v>
      </c>
      <c r="S209" t="e">
        <v>#N/A</v>
      </c>
      <c r="T209" t="e">
        <v>#N/A</v>
      </c>
      <c r="U209" t="e">
        <v>#N/A</v>
      </c>
      <c r="V209" t="e">
        <f>0.33*#REF!+0.67*#REF!</f>
        <v>#REF!</v>
      </c>
      <c r="W209" t="e">
        <v>#N/A</v>
      </c>
    </row>
    <row r="210" spans="2:23">
      <c r="B210">
        <v>96</v>
      </c>
      <c r="C210">
        <v>94.62</v>
      </c>
      <c r="D210" s="7">
        <f t="shared" si="32"/>
        <v>95.31</v>
      </c>
      <c r="E210" s="23">
        <v>4.2544474722633501</v>
      </c>
      <c r="F210" s="25">
        <v>-3.18121912097445</v>
      </c>
      <c r="G210" s="11">
        <f t="shared" si="33"/>
        <v>-53.213077278230074</v>
      </c>
      <c r="H210" s="11">
        <f t="shared" ref="H210:H256" si="34">IF( (G209-G210) &lt; 1, 1, (G209-G210))</f>
        <v>1</v>
      </c>
      <c r="I210" s="35">
        <f t="shared" si="24"/>
        <v>0.5</v>
      </c>
      <c r="J210" s="35">
        <f t="shared" si="25"/>
        <v>0.5</v>
      </c>
      <c r="K210" s="35">
        <f t="shared" si="26"/>
        <v>0.5</v>
      </c>
      <c r="L210" s="39">
        <f t="shared" si="27"/>
        <v>101.02640599162972</v>
      </c>
      <c r="M210" s="35">
        <f t="shared" si="28"/>
        <v>112.57847186773998</v>
      </c>
      <c r="N210" s="6" t="e">
        <f ca="1"/>
        <v>#NAME?</v>
      </c>
      <c r="O210" s="6" t="e">
        <f ca="1"/>
        <v>#NAME?</v>
      </c>
      <c r="P210" t="e">
        <f t="shared" ca="1" si="29"/>
        <v>#NAME?</v>
      </c>
      <c r="Q210" t="e">
        <f t="shared" ca="1" si="30"/>
        <v>#NAME?</v>
      </c>
      <c r="R210" t="e">
        <f t="shared" ca="1" si="31"/>
        <v>#NAME?</v>
      </c>
      <c r="S210" t="e">
        <v>#N/A</v>
      </c>
      <c r="T210" t="e">
        <v>#N/A</v>
      </c>
      <c r="U210" t="e">
        <v>#N/A</v>
      </c>
      <c r="V210" t="e">
        <f>0.33*#REF!+0.67*#REF!</f>
        <v>#REF!</v>
      </c>
      <c r="W210" t="e">
        <v>#N/A</v>
      </c>
    </row>
    <row r="211" spans="2:23">
      <c r="B211">
        <v>95.56</v>
      </c>
      <c r="C211">
        <v>92.81</v>
      </c>
      <c r="D211" s="7">
        <f t="shared" si="32"/>
        <v>94.185000000000002</v>
      </c>
      <c r="E211" s="23">
        <v>-9.3701382961920192</v>
      </c>
      <c r="F211" s="25">
        <v>-0.60270692586139796</v>
      </c>
      <c r="G211" s="11">
        <f t="shared" si="33"/>
        <v>86.31968539907794</v>
      </c>
      <c r="H211" s="11">
        <f t="shared" si="34"/>
        <v>1</v>
      </c>
      <c r="I211" s="35">
        <f t="shared" si="24"/>
        <v>0.5</v>
      </c>
      <c r="J211" s="35">
        <f t="shared" si="25"/>
        <v>0.5</v>
      </c>
      <c r="K211" s="35">
        <f t="shared" si="26"/>
        <v>0.5</v>
      </c>
      <c r="L211" s="39">
        <f t="shared" si="27"/>
        <v>97.605702995814852</v>
      </c>
      <c r="M211" s="35">
        <f t="shared" si="28"/>
        <v>108.8352796497587</v>
      </c>
      <c r="N211" s="6" t="e">
        <f ca="1"/>
        <v>#NAME?</v>
      </c>
      <c r="O211" s="6" t="e">
        <f ca="1"/>
        <v>#NAME?</v>
      </c>
      <c r="P211" t="e">
        <f t="shared" ca="1" si="29"/>
        <v>#NAME?</v>
      </c>
      <c r="Q211" t="e">
        <f t="shared" ca="1" si="30"/>
        <v>#NAME?</v>
      </c>
      <c r="R211" t="e">
        <f t="shared" ca="1" si="31"/>
        <v>#NAME?</v>
      </c>
      <c r="S211" t="e">
        <v>#N/A</v>
      </c>
      <c r="T211" t="e">
        <v>#N/A</v>
      </c>
      <c r="U211" t="e">
        <v>#N/A</v>
      </c>
      <c r="V211" t="e">
        <f>0.33*#REF!+0.67*#REF!</f>
        <v>#REF!</v>
      </c>
      <c r="W211" t="e">
        <v>#N/A</v>
      </c>
    </row>
    <row r="212" spans="2:23">
      <c r="B212">
        <v>95.31</v>
      </c>
      <c r="C212">
        <v>94.25</v>
      </c>
      <c r="D212" s="7">
        <f t="shared" si="32"/>
        <v>94.78</v>
      </c>
      <c r="E212" s="23">
        <v>-22.623001451165798</v>
      </c>
      <c r="F212" s="25">
        <v>-10.0542585944912</v>
      </c>
      <c r="G212" s="11">
        <f t="shared" si="33"/>
        <v>66.03837541884576</v>
      </c>
      <c r="H212" s="11">
        <f t="shared" si="34"/>
        <v>20.28130998023218</v>
      </c>
      <c r="I212" s="35">
        <f t="shared" si="24"/>
        <v>2.4653239878851062E-2</v>
      </c>
      <c r="J212" s="35">
        <f t="shared" si="25"/>
        <v>0.05</v>
      </c>
      <c r="K212" s="35">
        <f t="shared" si="26"/>
        <v>0.05</v>
      </c>
      <c r="L212" s="39">
        <f t="shared" si="27"/>
        <v>97.464417846024105</v>
      </c>
      <c r="M212" s="35">
        <f t="shared" si="28"/>
        <v>108.55100810466533</v>
      </c>
      <c r="N212" s="6" t="e">
        <f ca="1"/>
        <v>#NAME?</v>
      </c>
      <c r="O212" s="6" t="e">
        <f ca="1"/>
        <v>#NAME?</v>
      </c>
      <c r="P212" t="e">
        <f t="shared" ca="1" si="29"/>
        <v>#NAME?</v>
      </c>
      <c r="Q212" t="e">
        <f t="shared" ca="1" si="30"/>
        <v>#NAME?</v>
      </c>
      <c r="R212" t="e">
        <f t="shared" ca="1" si="31"/>
        <v>#NAME?</v>
      </c>
      <c r="S212" t="e">
        <v>#N/A</v>
      </c>
      <c r="T212" t="e">
        <v>#N/A</v>
      </c>
      <c r="U212" t="e">
        <v>#N/A</v>
      </c>
      <c r="V212" t="e">
        <f>0.33*#REF!+0.67*#REF!</f>
        <v>#REF!</v>
      </c>
      <c r="W212" t="e">
        <v>#N/A</v>
      </c>
    </row>
    <row r="213" spans="2:23">
      <c r="B213">
        <v>99</v>
      </c>
      <c r="C213">
        <v>96.25</v>
      </c>
      <c r="D213" s="7">
        <f t="shared" si="32"/>
        <v>97.625</v>
      </c>
      <c r="E213" s="23">
        <v>-1.6125062641195</v>
      </c>
      <c r="F213" s="25">
        <v>-16.7522832862822</v>
      </c>
      <c r="G213" s="11">
        <f t="shared" si="33"/>
        <v>5.4981187295144931</v>
      </c>
      <c r="H213" s="11">
        <f t="shared" si="34"/>
        <v>60.540256689331265</v>
      </c>
      <c r="I213" s="35">
        <f t="shared" si="24"/>
        <v>8.2589672945359797E-3</v>
      </c>
      <c r="J213" s="35">
        <f t="shared" si="25"/>
        <v>0.05</v>
      </c>
      <c r="K213" s="35">
        <f t="shared" si="26"/>
        <v>0.05</v>
      </c>
      <c r="L213" s="39">
        <f t="shared" si="27"/>
        <v>97.472446953722894</v>
      </c>
      <c r="M213" s="35">
        <f t="shared" si="28"/>
        <v>108.27404407589177</v>
      </c>
      <c r="N213" s="6" t="e">
        <f ca="1"/>
        <v>#NAME?</v>
      </c>
      <c r="O213" s="6" t="e">
        <f ca="1"/>
        <v>#NAME?</v>
      </c>
      <c r="P213" t="e">
        <f t="shared" ca="1" si="29"/>
        <v>#NAME?</v>
      </c>
      <c r="Q213" t="e">
        <f t="shared" ca="1" si="30"/>
        <v>#NAME?</v>
      </c>
      <c r="R213" t="e">
        <f t="shared" ca="1" si="31"/>
        <v>#NAME?</v>
      </c>
      <c r="S213" t="e">
        <v>#N/A</v>
      </c>
      <c r="T213" t="e">
        <v>#N/A</v>
      </c>
      <c r="U213" t="e">
        <v>#N/A</v>
      </c>
      <c r="V213" t="e">
        <f>0.33*#REF!+0.67*#REF!</f>
        <v>#REF!</v>
      </c>
      <c r="W213" t="e">
        <v>#N/A</v>
      </c>
    </row>
    <row r="214" spans="2:23">
      <c r="B214">
        <v>98.81</v>
      </c>
      <c r="C214">
        <v>96.37</v>
      </c>
      <c r="D214" s="7">
        <f t="shared" si="32"/>
        <v>97.59</v>
      </c>
      <c r="E214" s="23">
        <v>14.6531315108999</v>
      </c>
      <c r="F214" s="25">
        <v>-11.3660804443572</v>
      </c>
      <c r="G214" s="11">
        <f t="shared" si="33"/>
        <v>-52.200130465318722</v>
      </c>
      <c r="H214" s="11">
        <f t="shared" si="34"/>
        <v>57.698249194833217</v>
      </c>
      <c r="I214" s="35">
        <f t="shared" si="24"/>
        <v>8.6657742128642291E-3</v>
      </c>
      <c r="J214" s="35">
        <f t="shared" si="25"/>
        <v>0.05</v>
      </c>
      <c r="K214" s="35">
        <f t="shared" si="26"/>
        <v>0.05</v>
      </c>
      <c r="L214" s="39">
        <f t="shared" si="27"/>
        <v>97.47832460603675</v>
      </c>
      <c r="M214" s="35">
        <f t="shared" si="28"/>
        <v>108.00415108914538</v>
      </c>
      <c r="N214" s="6" t="e">
        <f ca="1"/>
        <v>#NAME?</v>
      </c>
      <c r="O214" s="6" t="e">
        <f ca="1"/>
        <v>#NAME?</v>
      </c>
      <c r="P214" t="e">
        <f t="shared" ca="1" si="29"/>
        <v>#NAME?</v>
      </c>
      <c r="Q214" t="e">
        <f t="shared" ca="1" si="30"/>
        <v>#NAME?</v>
      </c>
      <c r="R214" t="e">
        <f t="shared" ca="1" si="31"/>
        <v>#NAME?</v>
      </c>
      <c r="S214" t="e">
        <v>#N/A</v>
      </c>
      <c r="T214" t="e">
        <v>#N/A</v>
      </c>
      <c r="U214" t="e">
        <v>#N/A</v>
      </c>
      <c r="V214" t="e">
        <f>0.33*#REF!+0.67*#REF!</f>
        <v>#REF!</v>
      </c>
      <c r="W214" t="e">
        <v>#N/A</v>
      </c>
    </row>
    <row r="215" spans="2:23">
      <c r="B215">
        <v>96.81</v>
      </c>
      <c r="C215">
        <v>93.69</v>
      </c>
      <c r="D215" s="7">
        <f t="shared" si="32"/>
        <v>95.25</v>
      </c>
      <c r="E215" s="23">
        <v>19.837950474697699</v>
      </c>
      <c r="F215" s="25">
        <v>-7.6912860369125804</v>
      </c>
      <c r="G215" s="11">
        <f t="shared" si="33"/>
        <v>-68.808405231878552</v>
      </c>
      <c r="H215" s="11">
        <f t="shared" si="34"/>
        <v>16.60827476655983</v>
      </c>
      <c r="I215" s="35">
        <f t="shared" si="24"/>
        <v>3.0105474953168055E-2</v>
      </c>
      <c r="J215" s="35">
        <f t="shared" si="25"/>
        <v>0.05</v>
      </c>
      <c r="K215" s="35">
        <f t="shared" si="26"/>
        <v>0.05</v>
      </c>
      <c r="L215" s="39">
        <f t="shared" si="27"/>
        <v>97.366908375734909</v>
      </c>
      <c r="M215" s="35">
        <f t="shared" si="28"/>
        <v>107.73822002131013</v>
      </c>
      <c r="N215" s="6" t="e">
        <f ca="1"/>
        <v>#NAME?</v>
      </c>
      <c r="O215" s="6" t="e">
        <f ca="1"/>
        <v>#NAME?</v>
      </c>
      <c r="P215" t="e">
        <f t="shared" ca="1" si="29"/>
        <v>#NAME?</v>
      </c>
      <c r="Q215" t="e">
        <f t="shared" ca="1" si="30"/>
        <v>#NAME?</v>
      </c>
      <c r="R215" t="e">
        <f t="shared" ca="1" si="31"/>
        <v>#NAME?</v>
      </c>
      <c r="S215" t="e">
        <v>#N/A</v>
      </c>
      <c r="T215" t="e">
        <v>#N/A</v>
      </c>
      <c r="U215" t="e">
        <v>#N/A</v>
      </c>
      <c r="V215" t="e">
        <f>0.33*#REF!+0.67*#REF!</f>
        <v>#REF!</v>
      </c>
      <c r="W215" t="e">
        <v>#N/A</v>
      </c>
    </row>
    <row r="216" spans="2:23">
      <c r="B216">
        <v>95.94</v>
      </c>
      <c r="C216">
        <v>93.5</v>
      </c>
      <c r="D216" s="7">
        <f t="shared" si="32"/>
        <v>94.72</v>
      </c>
      <c r="E216" s="23">
        <v>22.011724603324499</v>
      </c>
      <c r="F216" s="25">
        <v>-1.9202029083447101</v>
      </c>
      <c r="G216" s="11">
        <f t="shared" si="33"/>
        <v>-85.014397642015282</v>
      </c>
      <c r="H216" s="11">
        <f t="shared" si="34"/>
        <v>16.20599241013673</v>
      </c>
      <c r="I216" s="35">
        <f t="shared" si="24"/>
        <v>3.0852785028287047E-2</v>
      </c>
      <c r="J216" s="35">
        <f t="shared" si="25"/>
        <v>0.05</v>
      </c>
      <c r="K216" s="35">
        <f t="shared" si="26"/>
        <v>0.05</v>
      </c>
      <c r="L216" s="39">
        <f t="shared" si="27"/>
        <v>97.234562956948167</v>
      </c>
      <c r="M216" s="35">
        <f t="shared" si="28"/>
        <v>107.47562859470108</v>
      </c>
      <c r="N216" s="6" t="e">
        <f ca="1"/>
        <v>#NAME?</v>
      </c>
      <c r="O216" s="6" t="e">
        <f ca="1"/>
        <v>#NAME?</v>
      </c>
      <c r="P216" t="e">
        <f t="shared" ca="1" si="29"/>
        <v>#NAME?</v>
      </c>
      <c r="Q216" t="e">
        <f t="shared" ca="1" si="30"/>
        <v>#NAME?</v>
      </c>
      <c r="R216" t="e">
        <f t="shared" ca="1" si="31"/>
        <v>#NAME?</v>
      </c>
      <c r="S216" t="e">
        <v>#N/A</v>
      </c>
      <c r="T216" t="e">
        <v>#N/A</v>
      </c>
      <c r="U216" t="e">
        <v>#N/A</v>
      </c>
      <c r="V216" t="e">
        <f>0.33*#REF!+0.67*#REF!</f>
        <v>#REF!</v>
      </c>
      <c r="W216" t="e">
        <v>#N/A</v>
      </c>
    </row>
    <row r="217" spans="2:23">
      <c r="B217">
        <v>94.44</v>
      </c>
      <c r="C217">
        <v>90</v>
      </c>
      <c r="D217" s="7">
        <f t="shared" si="32"/>
        <v>92.22</v>
      </c>
      <c r="E217" s="23">
        <v>12.2947215617603</v>
      </c>
      <c r="F217" s="25">
        <v>0.70733463211078096</v>
      </c>
      <c r="G217" s="11">
        <f t="shared" si="33"/>
        <v>86.70731345968764</v>
      </c>
      <c r="H217" s="11">
        <f t="shared" si="34"/>
        <v>1</v>
      </c>
      <c r="I217" s="35">
        <f t="shared" si="24"/>
        <v>0.5</v>
      </c>
      <c r="J217" s="35">
        <f t="shared" si="25"/>
        <v>0.5</v>
      </c>
      <c r="K217" s="35">
        <f t="shared" si="26"/>
        <v>0.5</v>
      </c>
      <c r="L217" s="39">
        <f t="shared" si="27"/>
        <v>94.727281478474083</v>
      </c>
      <c r="M217" s="35">
        <f t="shared" si="28"/>
        <v>104.28854181564432</v>
      </c>
      <c r="N217" s="6" t="e">
        <f ca="1"/>
        <v>#NAME?</v>
      </c>
      <c r="O217" s="6" t="e">
        <f ca="1"/>
        <v>#NAME?</v>
      </c>
      <c r="P217" t="e">
        <f t="shared" ca="1" si="29"/>
        <v>#NAME?</v>
      </c>
      <c r="Q217" t="e">
        <f t="shared" ca="1" si="30"/>
        <v>#NAME?</v>
      </c>
      <c r="R217" t="e">
        <f t="shared" ca="1" si="31"/>
        <v>#NAME?</v>
      </c>
      <c r="S217" t="e">
        <v>#N/A</v>
      </c>
      <c r="T217" t="e">
        <v>#N/A</v>
      </c>
      <c r="U217" t="e">
        <v>#N/A</v>
      </c>
      <c r="V217" t="e">
        <f>0.33*#REF!+0.67*#REF!</f>
        <v>#REF!</v>
      </c>
      <c r="W217" t="e">
        <v>#N/A</v>
      </c>
    </row>
    <row r="218" spans="2:23">
      <c r="B218">
        <v>92.94</v>
      </c>
      <c r="C218">
        <v>90.19</v>
      </c>
      <c r="D218" s="7">
        <f t="shared" si="32"/>
        <v>91.564999999999998</v>
      </c>
      <c r="E218" s="23">
        <v>7.9739226260347502</v>
      </c>
      <c r="F218" s="25">
        <v>3.0397886644235599</v>
      </c>
      <c r="G218" s="11">
        <f t="shared" si="33"/>
        <v>69.13234191567156</v>
      </c>
      <c r="H218" s="11">
        <f t="shared" si="34"/>
        <v>17.57497154401608</v>
      </c>
      <c r="I218" s="35">
        <f t="shared" si="24"/>
        <v>2.8449548196864068E-2</v>
      </c>
      <c r="J218" s="35">
        <f t="shared" si="25"/>
        <v>0.05</v>
      </c>
      <c r="K218" s="35">
        <f t="shared" si="26"/>
        <v>0.05</v>
      </c>
      <c r="L218" s="39">
        <f t="shared" si="27"/>
        <v>94.56916740455037</v>
      </c>
      <c r="M218" s="35">
        <f t="shared" si="28"/>
        <v>104.04555745536697</v>
      </c>
      <c r="N218" s="6" t="e">
        <f ca="1"/>
        <v>#NAME?</v>
      </c>
      <c r="O218" s="6" t="e">
        <f ca="1"/>
        <v>#NAME?</v>
      </c>
      <c r="P218" t="e">
        <f t="shared" ca="1" si="29"/>
        <v>#NAME?</v>
      </c>
      <c r="Q218" t="e">
        <f t="shared" ca="1" si="30"/>
        <v>#NAME?</v>
      </c>
      <c r="R218" t="e">
        <f t="shared" ca="1" si="31"/>
        <v>#NAME?</v>
      </c>
      <c r="S218" t="e">
        <v>#N/A</v>
      </c>
      <c r="T218" t="e">
        <v>#N/A</v>
      </c>
      <c r="U218" t="e">
        <v>#N/A</v>
      </c>
      <c r="V218" t="e">
        <f>0.33*#REF!+0.67*#REF!</f>
        <v>#REF!</v>
      </c>
      <c r="W218" t="e">
        <v>#N/A</v>
      </c>
    </row>
    <row r="219" spans="2:23">
      <c r="B219">
        <v>93.94</v>
      </c>
      <c r="C219">
        <v>90.5</v>
      </c>
      <c r="D219" s="7">
        <f t="shared" si="32"/>
        <v>92.22</v>
      </c>
      <c r="E219" s="23">
        <v>-4.6328562286876904</v>
      </c>
      <c r="F219" s="25">
        <v>4.4168089613972796</v>
      </c>
      <c r="G219" s="11">
        <f t="shared" si="33"/>
        <v>-46.367591555139427</v>
      </c>
      <c r="H219" s="11">
        <f t="shared" si="34"/>
        <v>115.49993347081099</v>
      </c>
      <c r="I219" s="35">
        <f t="shared" si="24"/>
        <v>4.3290068225568237E-3</v>
      </c>
      <c r="J219" s="35">
        <f t="shared" si="25"/>
        <v>0.05</v>
      </c>
      <c r="K219" s="35">
        <f t="shared" si="26"/>
        <v>0.05</v>
      </c>
      <c r="L219" s="39">
        <f t="shared" si="27"/>
        <v>94.451709034322846</v>
      </c>
      <c r="M219" s="35">
        <f t="shared" si="28"/>
        <v>103.80571124484086</v>
      </c>
      <c r="N219" s="6" t="e">
        <f ca="1"/>
        <v>#NAME?</v>
      </c>
      <c r="O219" s="6" t="e">
        <f ca="1"/>
        <v>#NAME?</v>
      </c>
      <c r="P219" t="e">
        <f t="shared" ca="1" si="29"/>
        <v>#NAME?</v>
      </c>
      <c r="Q219" t="e">
        <f t="shared" ca="1" si="30"/>
        <v>#NAME?</v>
      </c>
      <c r="R219" t="e">
        <f t="shared" ca="1" si="31"/>
        <v>#NAME?</v>
      </c>
      <c r="S219" t="e">
        <v>#N/A</v>
      </c>
      <c r="T219" t="e">
        <v>#N/A</v>
      </c>
      <c r="U219" t="e">
        <v>#N/A</v>
      </c>
      <c r="V219" t="e">
        <f>0.33*#REF!+0.67*#REF!</f>
        <v>#REF!</v>
      </c>
      <c r="W219" t="e">
        <v>#N/A</v>
      </c>
    </row>
    <row r="220" spans="2:23">
      <c r="B220">
        <v>95.5</v>
      </c>
      <c r="C220">
        <v>92.12</v>
      </c>
      <c r="D220" s="7">
        <f t="shared" si="32"/>
        <v>93.81</v>
      </c>
      <c r="E220" s="23">
        <v>-13.178972568083401</v>
      </c>
      <c r="F220" s="25">
        <v>0.85901436133814901</v>
      </c>
      <c r="G220" s="11">
        <f t="shared" si="33"/>
        <v>-86.270697640153017</v>
      </c>
      <c r="H220" s="11">
        <f t="shared" si="34"/>
        <v>39.90310608501359</v>
      </c>
      <c r="I220" s="35">
        <f t="shared" si="24"/>
        <v>1.2530352873652234E-2</v>
      </c>
      <c r="J220" s="35">
        <f t="shared" si="25"/>
        <v>0.05</v>
      </c>
      <c r="K220" s="35">
        <f t="shared" si="26"/>
        <v>0.05</v>
      </c>
      <c r="L220" s="39">
        <f t="shared" si="27"/>
        <v>94.419623582606704</v>
      </c>
      <c r="M220" s="35">
        <f t="shared" si="28"/>
        <v>103.57105905328501</v>
      </c>
      <c r="N220" s="6" t="e">
        <f ca="1"/>
        <v>#NAME?</v>
      </c>
      <c r="O220" s="6" t="e">
        <f ca="1"/>
        <v>#NAME?</v>
      </c>
      <c r="P220" t="e">
        <f t="shared" ca="1" si="29"/>
        <v>#NAME?</v>
      </c>
      <c r="Q220" t="e">
        <f t="shared" ca="1" si="30"/>
        <v>#NAME?</v>
      </c>
      <c r="R220" t="e">
        <f t="shared" ca="1" si="31"/>
        <v>#NAME?</v>
      </c>
      <c r="S220" t="e">
        <v>#N/A</v>
      </c>
      <c r="T220" t="e">
        <v>#N/A</v>
      </c>
      <c r="U220" t="e">
        <v>#N/A</v>
      </c>
      <c r="V220" t="e">
        <f>0.33*#REF!+0.67*#REF!</f>
        <v>#REF!</v>
      </c>
      <c r="W220" t="e">
        <v>#N/A</v>
      </c>
    </row>
    <row r="221" spans="2:23">
      <c r="B221">
        <v>97.06</v>
      </c>
      <c r="C221">
        <v>94.12</v>
      </c>
      <c r="D221" s="7">
        <f t="shared" si="32"/>
        <v>95.59</v>
      </c>
      <c r="E221" s="23">
        <v>-11.4437748413626</v>
      </c>
      <c r="F221" s="25">
        <v>-2.1694429485656799</v>
      </c>
      <c r="G221" s="11">
        <f t="shared" si="33"/>
        <v>79.26558857015894</v>
      </c>
      <c r="H221" s="11">
        <f t="shared" si="34"/>
        <v>1</v>
      </c>
      <c r="I221" s="35">
        <f t="shared" si="24"/>
        <v>0.5</v>
      </c>
      <c r="J221" s="35">
        <f t="shared" si="25"/>
        <v>0.5</v>
      </c>
      <c r="K221" s="35">
        <f t="shared" si="26"/>
        <v>0.5</v>
      </c>
      <c r="L221" s="39">
        <f t="shared" si="27"/>
        <v>95.004811791303354</v>
      </c>
      <c r="M221" s="35">
        <f t="shared" si="28"/>
        <v>101.4294972377896</v>
      </c>
      <c r="N221" s="6" t="e">
        <f ca="1"/>
        <v>#NAME?</v>
      </c>
      <c r="O221" s="6" t="e">
        <f ca="1"/>
        <v>#NAME?</v>
      </c>
      <c r="P221" t="e">
        <f t="shared" ca="1" si="29"/>
        <v>#NAME?</v>
      </c>
      <c r="Q221" t="e">
        <f t="shared" ca="1" si="30"/>
        <v>#NAME?</v>
      </c>
      <c r="R221" t="e">
        <f t="shared" ca="1" si="31"/>
        <v>#NAME?</v>
      </c>
      <c r="S221" t="e">
        <v>#N/A</v>
      </c>
      <c r="T221" t="e">
        <v>#N/A</v>
      </c>
      <c r="U221" t="e">
        <v>#N/A</v>
      </c>
      <c r="V221" t="e">
        <f>0.33*#REF!+0.67*#REF!</f>
        <v>#REF!</v>
      </c>
      <c r="W221" t="e">
        <v>#N/A</v>
      </c>
    </row>
    <row r="222" spans="2:23">
      <c r="B222">
        <v>97.5</v>
      </c>
      <c r="C222">
        <v>94.87</v>
      </c>
      <c r="D222" s="7">
        <f t="shared" si="32"/>
        <v>96.185000000000002</v>
      </c>
      <c r="E222" s="23">
        <v>-7.5817479995356098</v>
      </c>
      <c r="F222" s="25">
        <v>-4.9418860459438996</v>
      </c>
      <c r="G222" s="11">
        <f t="shared" si="33"/>
        <v>56.903146559869334</v>
      </c>
      <c r="H222" s="11">
        <f t="shared" si="34"/>
        <v>22.362442010289605</v>
      </c>
      <c r="I222" s="35">
        <f t="shared" si="24"/>
        <v>2.2358917678576229E-2</v>
      </c>
      <c r="J222" s="35">
        <f t="shared" si="25"/>
        <v>0.05</v>
      </c>
      <c r="K222" s="35">
        <f t="shared" si="26"/>
        <v>0.05</v>
      </c>
      <c r="L222" s="39">
        <f t="shared" si="27"/>
        <v>95.063821201738193</v>
      </c>
      <c r="M222" s="35">
        <f t="shared" si="28"/>
        <v>101.27035533688831</v>
      </c>
      <c r="N222" s="6" t="e">
        <f ca="1"/>
        <v>#NAME?</v>
      </c>
      <c r="O222" s="6" t="e">
        <f ca="1"/>
        <v>#NAME?</v>
      </c>
      <c r="P222" t="e">
        <f t="shared" ca="1" si="29"/>
        <v>#NAME?</v>
      </c>
      <c r="Q222" t="e">
        <f t="shared" ca="1" si="30"/>
        <v>#NAME?</v>
      </c>
      <c r="R222" t="e">
        <f t="shared" ca="1" si="31"/>
        <v>#NAME?</v>
      </c>
      <c r="S222" t="e">
        <v>#N/A</v>
      </c>
      <c r="T222" t="e">
        <v>#N/A</v>
      </c>
      <c r="U222" t="e">
        <v>#N/A</v>
      </c>
      <c r="V222" t="e">
        <f>0.33*#REF!+0.67*#REF!</f>
        <v>#REF!</v>
      </c>
      <c r="W222" t="e">
        <v>#N/A</v>
      </c>
    </row>
    <row r="223" spans="2:23">
      <c r="B223">
        <v>96.25</v>
      </c>
      <c r="C223">
        <v>93</v>
      </c>
      <c r="D223" s="7">
        <f t="shared" si="32"/>
        <v>94.625</v>
      </c>
      <c r="E223" s="23">
        <v>2.3394868510106899</v>
      </c>
      <c r="F223" s="25">
        <v>-6.2070040624430201</v>
      </c>
      <c r="G223" s="11">
        <f t="shared" si="33"/>
        <v>-20.651967888611285</v>
      </c>
      <c r="H223" s="11">
        <f t="shared" si="34"/>
        <v>77.555114448480623</v>
      </c>
      <c r="I223" s="35">
        <f t="shared" ref="I223:I256" si="35">$B$1/H223</f>
        <v>6.4470280723026574E-3</v>
      </c>
      <c r="J223" s="35">
        <f t="shared" ref="J223:J256" si="36">IF(I223 &lt; $C$1, $C$1, I223 )</f>
        <v>0.05</v>
      </c>
      <c r="K223" s="35">
        <f t="shared" ref="K223:K256" si="37">IF(J223 &gt; $B$1, $B$1, J223 )</f>
        <v>0.05</v>
      </c>
      <c r="L223" s="39">
        <f t="shared" ref="L223:L256" si="38">K223*D223 + (1-K223)*L222</f>
        <v>95.041880141651276</v>
      </c>
      <c r="M223" s="35">
        <f t="shared" ref="M223:M256" si="39">0.5*K223*L223+(1-0.5*K223)*M222</f>
        <v>101.11464345700739</v>
      </c>
      <c r="N223" s="6" t="e">
        <f ca="1"/>
        <v>#NAME?</v>
      </c>
      <c r="O223" s="6" t="e">
        <f ca="1"/>
        <v>#NAME?</v>
      </c>
      <c r="P223" t="e">
        <f t="shared" ca="1" si="29"/>
        <v>#NAME?</v>
      </c>
      <c r="Q223" t="e">
        <f t="shared" ca="1" si="30"/>
        <v>#NAME?</v>
      </c>
      <c r="R223" t="e">
        <f t="shared" ca="1" si="31"/>
        <v>#NAME?</v>
      </c>
      <c r="S223" t="e">
        <v>#N/A</v>
      </c>
      <c r="T223" t="e">
        <v>#N/A</v>
      </c>
      <c r="U223" t="e">
        <v>#N/A</v>
      </c>
      <c r="V223" t="e">
        <f>0.33*#REF!+0.67*#REF!</f>
        <v>#REF!</v>
      </c>
      <c r="W223" t="e">
        <v>#N/A</v>
      </c>
    </row>
    <row r="224" spans="2:23">
      <c r="B224">
        <v>96.37</v>
      </c>
      <c r="C224">
        <v>93.87</v>
      </c>
      <c r="D224" s="7">
        <f t="shared" si="32"/>
        <v>95.12</v>
      </c>
      <c r="E224" s="23">
        <v>10.031430349942299</v>
      </c>
      <c r="F224" s="25">
        <v>-3.7013222600523998</v>
      </c>
      <c r="G224" s="11">
        <f t="shared" si="33"/>
        <v>-69.747324364953343</v>
      </c>
      <c r="H224" s="11">
        <f t="shared" si="34"/>
        <v>49.095356476342062</v>
      </c>
      <c r="I224" s="35">
        <f t="shared" si="35"/>
        <v>1.0184262543056157E-2</v>
      </c>
      <c r="J224" s="35">
        <f t="shared" si="36"/>
        <v>0.05</v>
      </c>
      <c r="K224" s="35">
        <f t="shared" si="37"/>
        <v>0.05</v>
      </c>
      <c r="L224" s="39">
        <f t="shared" si="38"/>
        <v>95.045786134568715</v>
      </c>
      <c r="M224" s="35">
        <f t="shared" si="39"/>
        <v>100.96292202394642</v>
      </c>
      <c r="N224" s="6" t="e">
        <f ca="1"/>
        <v>#NAME?</v>
      </c>
      <c r="O224" s="6" t="e">
        <f ca="1"/>
        <v>#NAME?</v>
      </c>
      <c r="P224" t="e">
        <f t="shared" ca="1" si="29"/>
        <v>#NAME?</v>
      </c>
      <c r="Q224" t="e">
        <f t="shared" ca="1" si="30"/>
        <v>#NAME?</v>
      </c>
      <c r="R224" t="e">
        <f t="shared" ca="1" si="31"/>
        <v>#NAME?</v>
      </c>
      <c r="S224" t="e">
        <v>#N/A</v>
      </c>
      <c r="T224" t="e">
        <v>#N/A</v>
      </c>
      <c r="U224" t="e">
        <v>#N/A</v>
      </c>
      <c r="V224" t="e">
        <f>0.33*#REF!+0.67*#REF!</f>
        <v>#REF!</v>
      </c>
      <c r="W224" t="e">
        <v>#N/A</v>
      </c>
    </row>
    <row r="225" spans="2:23">
      <c r="B225">
        <v>95</v>
      </c>
      <c r="C225">
        <v>93</v>
      </c>
      <c r="D225" s="7">
        <f t="shared" si="32"/>
        <v>94</v>
      </c>
      <c r="E225" s="23">
        <v>10.7264528614495</v>
      </c>
      <c r="F225" s="25">
        <v>-0.216676265377091</v>
      </c>
      <c r="G225" s="11">
        <f t="shared" si="33"/>
        <v>-88.842772395073766</v>
      </c>
      <c r="H225" s="11">
        <f t="shared" si="34"/>
        <v>19.095448030120423</v>
      </c>
      <c r="I225" s="35">
        <f t="shared" si="35"/>
        <v>2.6184250781197661E-2</v>
      </c>
      <c r="J225" s="35">
        <f t="shared" si="36"/>
        <v>0.05</v>
      </c>
      <c r="K225" s="35">
        <f t="shared" si="37"/>
        <v>0.05</v>
      </c>
      <c r="L225" s="39">
        <f t="shared" si="38"/>
        <v>94.993496827840275</v>
      </c>
      <c r="M225" s="35">
        <f t="shared" si="39"/>
        <v>100.81368639404377</v>
      </c>
      <c r="N225" s="6" t="e">
        <f ca="1"/>
        <v>#NAME?</v>
      </c>
      <c r="O225" s="6" t="e">
        <f ca="1"/>
        <v>#NAME?</v>
      </c>
      <c r="P225" t="e">
        <f t="shared" ca="1" si="29"/>
        <v>#NAME?</v>
      </c>
      <c r="Q225" t="e">
        <f t="shared" ca="1" si="30"/>
        <v>#NAME?</v>
      </c>
      <c r="R225" t="e">
        <f t="shared" ca="1" si="31"/>
        <v>#NAME?</v>
      </c>
      <c r="S225" t="e">
        <v>#N/A</v>
      </c>
      <c r="T225" t="e">
        <v>#N/A</v>
      </c>
      <c r="U225" t="e">
        <v>#N/A</v>
      </c>
      <c r="V225" t="e">
        <f>0.33*#REF!+0.67*#REF!</f>
        <v>#REF!</v>
      </c>
      <c r="W225" t="e">
        <v>#N/A</v>
      </c>
    </row>
    <row r="226" spans="2:23">
      <c r="B226">
        <v>94.87</v>
      </c>
      <c r="C226">
        <v>92.62</v>
      </c>
      <c r="D226" s="7">
        <f t="shared" si="32"/>
        <v>93.745000000000005</v>
      </c>
      <c r="E226" s="23">
        <v>7.31428268255004</v>
      </c>
      <c r="F226" s="25">
        <v>2.8182552909032599</v>
      </c>
      <c r="G226" s="11">
        <f t="shared" si="33"/>
        <v>68.927902012898898</v>
      </c>
      <c r="H226" s="11">
        <f t="shared" si="34"/>
        <v>1</v>
      </c>
      <c r="I226" s="35">
        <f t="shared" si="35"/>
        <v>0.5</v>
      </c>
      <c r="J226" s="35">
        <f t="shared" si="36"/>
        <v>0.5</v>
      </c>
      <c r="K226" s="35">
        <f t="shared" si="37"/>
        <v>0.5</v>
      </c>
      <c r="L226" s="39">
        <f t="shared" si="38"/>
        <v>94.369248413920133</v>
      </c>
      <c r="M226" s="35">
        <f t="shared" si="39"/>
        <v>99.202576899012854</v>
      </c>
      <c r="N226" s="6" t="e">
        <f ca="1"/>
        <v>#NAME?</v>
      </c>
      <c r="O226" s="6" t="e">
        <f ca="1"/>
        <v>#NAME?</v>
      </c>
      <c r="P226" t="e">
        <f t="shared" ca="1" si="29"/>
        <v>#NAME?</v>
      </c>
      <c r="Q226" t="e">
        <f t="shared" ca="1" si="30"/>
        <v>#NAME?</v>
      </c>
      <c r="R226" t="e">
        <f t="shared" ca="1" si="31"/>
        <v>#NAME?</v>
      </c>
      <c r="S226" t="e">
        <v>#N/A</v>
      </c>
      <c r="T226" t="e">
        <v>#N/A</v>
      </c>
      <c r="U226" t="e">
        <v>#N/A</v>
      </c>
      <c r="V226" t="e">
        <f>0.33*#REF!+0.67*#REF!</f>
        <v>#REF!</v>
      </c>
      <c r="W226" t="e">
        <v>#N/A</v>
      </c>
    </row>
    <row r="227" spans="2:23">
      <c r="B227">
        <v>98.25</v>
      </c>
      <c r="C227">
        <v>93.56</v>
      </c>
      <c r="D227" s="7">
        <f t="shared" si="32"/>
        <v>95.905000000000001</v>
      </c>
      <c r="E227" s="23">
        <v>-4.0089614126770597E-2</v>
      </c>
      <c r="F227" s="25">
        <v>4.0301547472193997</v>
      </c>
      <c r="G227" s="11">
        <f t="shared" si="33"/>
        <v>-0.56992598993445376</v>
      </c>
      <c r="H227" s="11">
        <f t="shared" si="34"/>
        <v>69.497828002833344</v>
      </c>
      <c r="I227" s="35">
        <f t="shared" si="35"/>
        <v>7.1944694441330682E-3</v>
      </c>
      <c r="J227" s="35">
        <f t="shared" si="36"/>
        <v>0.05</v>
      </c>
      <c r="K227" s="35">
        <f t="shared" si="37"/>
        <v>0.05</v>
      </c>
      <c r="L227" s="39">
        <f t="shared" si="38"/>
        <v>94.446035993224115</v>
      </c>
      <c r="M227" s="35">
        <f t="shared" si="39"/>
        <v>99.083663376368136</v>
      </c>
      <c r="N227" s="6" t="e">
        <f ca="1"/>
        <v>#NAME?</v>
      </c>
      <c r="O227" s="6" t="e">
        <f ca="1"/>
        <v>#NAME?</v>
      </c>
      <c r="P227" t="e">
        <f t="shared" ca="1" si="29"/>
        <v>#NAME?</v>
      </c>
      <c r="Q227" t="e">
        <f t="shared" ca="1" si="30"/>
        <v>#NAME?</v>
      </c>
      <c r="R227" t="e">
        <f t="shared" ca="1" si="31"/>
        <v>#NAME?</v>
      </c>
      <c r="S227" t="e">
        <v>#N/A</v>
      </c>
      <c r="T227" t="e">
        <v>#N/A</v>
      </c>
      <c r="U227" t="e">
        <v>#N/A</v>
      </c>
      <c r="V227" t="e">
        <f>0.33*#REF!+0.67*#REF!</f>
        <v>#REF!</v>
      </c>
      <c r="W227" t="e">
        <v>#N/A</v>
      </c>
    </row>
    <row r="228" spans="2:23">
      <c r="B228">
        <v>105.12</v>
      </c>
      <c r="C228">
        <v>98.37</v>
      </c>
      <c r="D228" s="7">
        <f t="shared" si="32"/>
        <v>101.745</v>
      </c>
      <c r="E228" s="23">
        <v>-5.0196496467160996</v>
      </c>
      <c r="F228" s="25">
        <v>2.2593927317438598</v>
      </c>
      <c r="G228" s="11">
        <f t="shared" si="33"/>
        <v>-65.767030510559493</v>
      </c>
      <c r="H228" s="11">
        <f t="shared" si="34"/>
        <v>65.197104520625047</v>
      </c>
      <c r="I228" s="35">
        <f t="shared" si="35"/>
        <v>7.6690522328614367E-3</v>
      </c>
      <c r="J228" s="35">
        <f t="shared" si="36"/>
        <v>0.05</v>
      </c>
      <c r="K228" s="35">
        <f t="shared" si="37"/>
        <v>0.05</v>
      </c>
      <c r="L228" s="39">
        <f t="shared" si="38"/>
        <v>94.810984193562902</v>
      </c>
      <c r="M228" s="35">
        <f t="shared" si="39"/>
        <v>98.976846396797995</v>
      </c>
      <c r="N228" s="6" t="e">
        <f ca="1"/>
        <v>#NAME?</v>
      </c>
      <c r="O228" s="6" t="e">
        <f ca="1"/>
        <v>#NAME?</v>
      </c>
      <c r="P228" t="e">
        <f t="shared" ca="1" si="29"/>
        <v>#NAME?</v>
      </c>
      <c r="Q228" t="e">
        <f t="shared" ca="1" si="30"/>
        <v>#NAME?</v>
      </c>
      <c r="R228" t="e">
        <f t="shared" ca="1" si="31"/>
        <v>#NAME?</v>
      </c>
      <c r="S228" t="e">
        <v>#N/A</v>
      </c>
      <c r="T228" t="e">
        <v>#N/A</v>
      </c>
      <c r="U228" t="e">
        <v>#N/A</v>
      </c>
      <c r="V228" t="e">
        <f>0.33*#REF!+0.67*#REF!</f>
        <v>#REF!</v>
      </c>
      <c r="W228" t="e">
        <v>#N/A</v>
      </c>
    </row>
    <row r="229" spans="2:23">
      <c r="B229">
        <v>108.44</v>
      </c>
      <c r="C229">
        <v>104.44</v>
      </c>
      <c r="D229" s="7">
        <f t="shared" si="32"/>
        <v>106.44</v>
      </c>
      <c r="E229" s="23">
        <v>-4.0981562904942699</v>
      </c>
      <c r="F229" s="25">
        <v>0.46386460591506601</v>
      </c>
      <c r="G229" s="11">
        <f t="shared" si="33"/>
        <v>-83.542255026614683</v>
      </c>
      <c r="H229" s="11">
        <f t="shared" si="34"/>
        <v>17.775224516055189</v>
      </c>
      <c r="I229" s="35">
        <f t="shared" si="35"/>
        <v>2.8129039920051807E-2</v>
      </c>
      <c r="J229" s="35">
        <f t="shared" si="36"/>
        <v>0.05</v>
      </c>
      <c r="K229" s="35">
        <f t="shared" si="37"/>
        <v>0.05</v>
      </c>
      <c r="L229" s="39">
        <f t="shared" si="38"/>
        <v>95.392434983884755</v>
      </c>
      <c r="M229" s="35">
        <f t="shared" si="39"/>
        <v>98.887236111475161</v>
      </c>
      <c r="N229" s="6" t="e">
        <f ca="1"/>
        <v>#NAME?</v>
      </c>
      <c r="O229" s="6" t="e">
        <f ca="1"/>
        <v>#NAME?</v>
      </c>
      <c r="P229" t="e">
        <f t="shared" ca="1" si="29"/>
        <v>#NAME?</v>
      </c>
      <c r="Q229" t="e">
        <f t="shared" ca="1" si="30"/>
        <v>#NAME?</v>
      </c>
      <c r="R229" t="e">
        <f t="shared" ca="1" si="31"/>
        <v>#NAME?</v>
      </c>
      <c r="S229" t="e">
        <v>#N/A</v>
      </c>
      <c r="T229" t="e">
        <v>#N/A</v>
      </c>
      <c r="U229" t="e">
        <v>#N/A</v>
      </c>
      <c r="V229" t="e">
        <f>0.33*#REF!+0.67*#REF!</f>
        <v>#REF!</v>
      </c>
      <c r="W229" t="e">
        <v>#N/A</v>
      </c>
    </row>
    <row r="230" spans="2:23">
      <c r="B230">
        <v>109.87</v>
      </c>
      <c r="C230">
        <v>106</v>
      </c>
      <c r="D230" s="7">
        <f t="shared" si="32"/>
        <v>107.935</v>
      </c>
      <c r="E230" s="23">
        <v>-1.1594018295526201</v>
      </c>
      <c r="F230" s="25">
        <v>-0.52712244128320196</v>
      </c>
      <c r="G230" s="11">
        <f t="shared" si="33"/>
        <v>65.551064729169241</v>
      </c>
      <c r="H230" s="11">
        <f t="shared" si="34"/>
        <v>1</v>
      </c>
      <c r="I230" s="35">
        <f t="shared" si="35"/>
        <v>0.5</v>
      </c>
      <c r="J230" s="35">
        <f t="shared" si="36"/>
        <v>0.5</v>
      </c>
      <c r="K230" s="35">
        <f t="shared" si="37"/>
        <v>0.5</v>
      </c>
      <c r="L230" s="39">
        <f t="shared" si="38"/>
        <v>101.66371749194238</v>
      </c>
      <c r="M230" s="35">
        <f t="shared" si="39"/>
        <v>99.581356456591976</v>
      </c>
      <c r="N230" s="6" t="e">
        <f ca="1"/>
        <v>#NAME?</v>
      </c>
      <c r="O230" s="6" t="e">
        <f ca="1"/>
        <v>#NAME?</v>
      </c>
      <c r="P230" t="e">
        <f t="shared" ref="P230:P256" ca="1" si="40">IF(ROUND(L230,7)&lt;&gt;ROUND(N230,7),1,0)</f>
        <v>#NAME?</v>
      </c>
      <c r="Q230" t="e">
        <f t="shared" ref="Q230:Q256" ca="1" si="41">IF(ROUND(M230,7)&lt;&gt;ROUND(O230,7),1,0)</f>
        <v>#NAME?</v>
      </c>
      <c r="R230" t="e">
        <f t="shared" ref="R230:R256" ca="1" si="42">SUM(P230:Q230)</f>
        <v>#NAME?</v>
      </c>
      <c r="S230" t="e">
        <v>#N/A</v>
      </c>
      <c r="T230" t="e">
        <v>#N/A</v>
      </c>
      <c r="U230" t="e">
        <v>#N/A</v>
      </c>
      <c r="V230" t="e">
        <f>0.33*#REF!+0.67*#REF!</f>
        <v>#REF!</v>
      </c>
      <c r="W230" t="e">
        <v>#N/A</v>
      </c>
    </row>
    <row r="231" spans="2:23">
      <c r="B231">
        <v>105</v>
      </c>
      <c r="C231">
        <v>101.81</v>
      </c>
      <c r="D231" s="7">
        <f t="shared" si="32"/>
        <v>103.405</v>
      </c>
      <c r="E231" s="23">
        <v>4.8059506572678803</v>
      </c>
      <c r="F231" s="25">
        <v>-0.86458618730501902</v>
      </c>
      <c r="G231" s="11">
        <f t="shared" si="33"/>
        <v>-79.80162621240062</v>
      </c>
      <c r="H231" s="11">
        <f t="shared" si="34"/>
        <v>145.35269094156985</v>
      </c>
      <c r="I231" s="35">
        <f t="shared" si="35"/>
        <v>3.4399087953658485E-3</v>
      </c>
      <c r="J231" s="35">
        <f t="shared" si="36"/>
        <v>0.05</v>
      </c>
      <c r="K231" s="35">
        <f t="shared" si="37"/>
        <v>0.05</v>
      </c>
      <c r="L231" s="39">
        <f t="shared" si="38"/>
        <v>101.75078161734525</v>
      </c>
      <c r="M231" s="35">
        <f t="shared" si="39"/>
        <v>99.63559208561081</v>
      </c>
      <c r="N231" s="6" t="e">
        <f ca="1"/>
        <v>#NAME?</v>
      </c>
      <c r="O231" s="6" t="e">
        <f ca="1"/>
        <v>#NAME?</v>
      </c>
      <c r="P231" t="e">
        <f t="shared" ca="1" si="40"/>
        <v>#NAME?</v>
      </c>
      <c r="Q231" t="e">
        <f t="shared" ca="1" si="41"/>
        <v>#NAME?</v>
      </c>
      <c r="R231" t="e">
        <f t="shared" ca="1" si="42"/>
        <v>#NAME?</v>
      </c>
      <c r="S231" t="e">
        <v>#N/A</v>
      </c>
      <c r="T231" t="e">
        <v>#N/A</v>
      </c>
      <c r="U231" t="e">
        <v>#N/A</v>
      </c>
      <c r="V231" t="e">
        <f>0.33*#REF!+0.67*#REF!</f>
        <v>#REF!</v>
      </c>
      <c r="W231" t="e">
        <v>#N/A</v>
      </c>
    </row>
    <row r="232" spans="2:23">
      <c r="B232">
        <v>106</v>
      </c>
      <c r="C232">
        <v>104.12</v>
      </c>
      <c r="D232" s="7">
        <f t="shared" si="32"/>
        <v>105.06</v>
      </c>
      <c r="E232" s="23">
        <v>12.365269685701501</v>
      </c>
      <c r="F232" s="25">
        <v>1.63986134188871</v>
      </c>
      <c r="G232" s="11">
        <f t="shared" si="33"/>
        <v>82.445611829838455</v>
      </c>
      <c r="H232" s="11">
        <f t="shared" si="34"/>
        <v>1</v>
      </c>
      <c r="I232" s="35">
        <f t="shared" si="35"/>
        <v>0.5</v>
      </c>
      <c r="J232" s="35">
        <f t="shared" si="36"/>
        <v>0.5</v>
      </c>
      <c r="K232" s="35">
        <f t="shared" si="37"/>
        <v>0.5</v>
      </c>
      <c r="L232" s="39">
        <f t="shared" si="38"/>
        <v>103.40539080867262</v>
      </c>
      <c r="M232" s="35">
        <f t="shared" si="39"/>
        <v>100.57804176637626</v>
      </c>
      <c r="N232" s="6" t="e">
        <f ca="1"/>
        <v>#NAME?</v>
      </c>
      <c r="O232" s="6" t="e">
        <f ca="1"/>
        <v>#NAME?</v>
      </c>
      <c r="P232" t="e">
        <f t="shared" ca="1" si="40"/>
        <v>#NAME?</v>
      </c>
      <c r="Q232" t="e">
        <f t="shared" ca="1" si="41"/>
        <v>#NAME?</v>
      </c>
      <c r="R232" t="e">
        <f t="shared" ca="1" si="42"/>
        <v>#NAME?</v>
      </c>
      <c r="S232" t="e">
        <v>#N/A</v>
      </c>
      <c r="T232" t="e">
        <v>#N/A</v>
      </c>
      <c r="U232" t="e">
        <v>#N/A</v>
      </c>
      <c r="V232" t="e">
        <f>0.33*#REF!+0.67*#REF!</f>
        <v>#REF!</v>
      </c>
      <c r="W232" t="e">
        <v>#N/A</v>
      </c>
    </row>
    <row r="233" spans="2:23">
      <c r="B233">
        <v>104.94</v>
      </c>
      <c r="C233">
        <v>103.37</v>
      </c>
      <c r="D233" s="7">
        <f t="shared" si="32"/>
        <v>104.155</v>
      </c>
      <c r="E233" s="23">
        <v>14.2825851090881</v>
      </c>
      <c r="F233" s="25">
        <v>6.8504347573052504</v>
      </c>
      <c r="G233" s="11">
        <f t="shared" si="33"/>
        <v>64.375970487027274</v>
      </c>
      <c r="H233" s="11">
        <f t="shared" si="34"/>
        <v>18.069641342811181</v>
      </c>
      <c r="I233" s="35">
        <f t="shared" si="35"/>
        <v>2.767072076939257E-2</v>
      </c>
      <c r="J233" s="35">
        <f t="shared" si="36"/>
        <v>0.05</v>
      </c>
      <c r="K233" s="35">
        <f t="shared" si="37"/>
        <v>0.05</v>
      </c>
      <c r="L233" s="39">
        <f t="shared" si="38"/>
        <v>103.44287126823899</v>
      </c>
      <c r="M233" s="35">
        <f t="shared" si="39"/>
        <v>100.64966250392283</v>
      </c>
      <c r="N233" s="6" t="e">
        <f ca="1"/>
        <v>#NAME?</v>
      </c>
      <c r="O233" s="6" t="e">
        <f ca="1"/>
        <v>#NAME?</v>
      </c>
      <c r="P233" t="e">
        <f t="shared" ca="1" si="40"/>
        <v>#NAME?</v>
      </c>
      <c r="Q233" t="e">
        <f t="shared" ca="1" si="41"/>
        <v>#NAME?</v>
      </c>
      <c r="R233" t="e">
        <f t="shared" ca="1" si="42"/>
        <v>#NAME?</v>
      </c>
      <c r="S233" t="e">
        <v>#N/A</v>
      </c>
      <c r="T233" t="e">
        <v>#N/A</v>
      </c>
      <c r="U233" t="e">
        <v>#N/A</v>
      </c>
      <c r="V233" t="e">
        <f>0.33*#REF!+0.67*#REF!</f>
        <v>#REF!</v>
      </c>
      <c r="W233" t="e">
        <v>#N/A</v>
      </c>
    </row>
    <row r="234" spans="2:23">
      <c r="B234">
        <v>104.5</v>
      </c>
      <c r="C234">
        <v>102.12</v>
      </c>
      <c r="D234" s="7">
        <f t="shared" si="32"/>
        <v>103.31</v>
      </c>
      <c r="E234" s="23">
        <v>7.8028379337785596</v>
      </c>
      <c r="F234" s="25">
        <v>11.2765581383109</v>
      </c>
      <c r="G234" s="11">
        <f t="shared" si="33"/>
        <v>34.681377938570144</v>
      </c>
      <c r="H234" s="11">
        <f t="shared" si="34"/>
        <v>29.69459254845713</v>
      </c>
      <c r="I234" s="35">
        <f t="shared" si="35"/>
        <v>1.6838082529136402E-2</v>
      </c>
      <c r="J234" s="35">
        <f t="shared" si="36"/>
        <v>0.05</v>
      </c>
      <c r="K234" s="35">
        <f t="shared" si="37"/>
        <v>0.05</v>
      </c>
      <c r="L234" s="39">
        <f t="shared" si="38"/>
        <v>103.43622770482703</v>
      </c>
      <c r="M234" s="35">
        <f t="shared" si="39"/>
        <v>100.71932663394543</v>
      </c>
      <c r="N234" s="6" t="e">
        <f ca="1"/>
        <v>#NAME?</v>
      </c>
      <c r="O234" s="6" t="e">
        <f ca="1"/>
        <v>#NAME?</v>
      </c>
      <c r="P234" t="e">
        <f t="shared" ca="1" si="40"/>
        <v>#NAME?</v>
      </c>
      <c r="Q234" t="e">
        <f t="shared" ca="1" si="41"/>
        <v>#NAME?</v>
      </c>
      <c r="R234" t="e">
        <f t="shared" ca="1" si="42"/>
        <v>#NAME?</v>
      </c>
      <c r="S234" t="e">
        <v>#N/A</v>
      </c>
      <c r="T234" t="e">
        <v>#N/A</v>
      </c>
      <c r="U234" t="e">
        <v>#N/A</v>
      </c>
      <c r="V234" t="e">
        <f>0.33*#REF!+0.67*#REF!</f>
        <v>#REF!</v>
      </c>
      <c r="W234" t="e">
        <v>#N/A</v>
      </c>
    </row>
    <row r="235" spans="2:23">
      <c r="B235">
        <v>104.44</v>
      </c>
      <c r="C235">
        <v>102.25</v>
      </c>
      <c r="D235" s="7">
        <f t="shared" si="32"/>
        <v>103.345</v>
      </c>
      <c r="E235" s="23">
        <v>-7.2858073817211499</v>
      </c>
      <c r="F235" s="25">
        <v>11.9177266025034</v>
      </c>
      <c r="G235" s="11">
        <f t="shared" si="33"/>
        <v>-31.439198474150675</v>
      </c>
      <c r="H235" s="11">
        <f t="shared" si="34"/>
        <v>66.120576412720823</v>
      </c>
      <c r="I235" s="35">
        <f t="shared" si="35"/>
        <v>7.5619425468862952E-3</v>
      </c>
      <c r="J235" s="35">
        <f t="shared" si="36"/>
        <v>0.05</v>
      </c>
      <c r="K235" s="35">
        <f t="shared" si="37"/>
        <v>0.05</v>
      </c>
      <c r="L235" s="39">
        <f t="shared" si="38"/>
        <v>103.43166631958567</v>
      </c>
      <c r="M235" s="35">
        <f t="shared" si="39"/>
        <v>100.78713512608644</v>
      </c>
      <c r="N235" s="6" t="e">
        <f ca="1"/>
        <v>#NAME?</v>
      </c>
      <c r="O235" s="6" t="e">
        <f ca="1"/>
        <v>#NAME?</v>
      </c>
      <c r="P235" t="e">
        <f t="shared" ca="1" si="40"/>
        <v>#NAME?</v>
      </c>
      <c r="Q235" t="e">
        <f t="shared" ca="1" si="41"/>
        <v>#NAME?</v>
      </c>
      <c r="R235" t="e">
        <f t="shared" ca="1" si="42"/>
        <v>#NAME?</v>
      </c>
      <c r="S235" t="e">
        <v>#N/A</v>
      </c>
      <c r="T235" t="e">
        <v>#N/A</v>
      </c>
      <c r="U235" t="e">
        <v>#N/A</v>
      </c>
      <c r="V235" t="e">
        <f>0.33*#REF!+0.67*#REF!</f>
        <v>#REF!</v>
      </c>
      <c r="W235" t="e">
        <v>#N/A</v>
      </c>
    </row>
    <row r="236" spans="2:23">
      <c r="B236">
        <v>106.31</v>
      </c>
      <c r="C236">
        <v>103.37</v>
      </c>
      <c r="D236" s="7">
        <f t="shared" si="32"/>
        <v>104.84</v>
      </c>
      <c r="E236" s="23">
        <v>-19.2091117866355</v>
      </c>
      <c r="F236" s="25">
        <v>6.8284531011774803</v>
      </c>
      <c r="G236" s="11">
        <f t="shared" si="33"/>
        <v>-70.430722605655873</v>
      </c>
      <c r="H236" s="11">
        <f t="shared" si="34"/>
        <v>38.991524131505201</v>
      </c>
      <c r="I236" s="35">
        <f t="shared" si="35"/>
        <v>1.282329970774339E-2</v>
      </c>
      <c r="J236" s="35">
        <f t="shared" si="36"/>
        <v>0.05</v>
      </c>
      <c r="K236" s="35">
        <f t="shared" si="37"/>
        <v>0.05</v>
      </c>
      <c r="L236" s="39">
        <f t="shared" si="38"/>
        <v>103.50208300360639</v>
      </c>
      <c r="M236" s="35">
        <f t="shared" si="39"/>
        <v>100.85500882302443</v>
      </c>
      <c r="N236" s="6" t="e">
        <f ca="1"/>
        <v>#NAME?</v>
      </c>
      <c r="O236" s="6" t="e">
        <f ca="1"/>
        <v>#NAME?</v>
      </c>
      <c r="P236" t="e">
        <f t="shared" ca="1" si="40"/>
        <v>#NAME?</v>
      </c>
      <c r="Q236" t="e">
        <f t="shared" ca="1" si="41"/>
        <v>#NAME?</v>
      </c>
      <c r="R236" t="e">
        <f t="shared" ca="1" si="42"/>
        <v>#NAME?</v>
      </c>
      <c r="S236" t="e">
        <v>#N/A</v>
      </c>
      <c r="T236" t="e">
        <v>#N/A</v>
      </c>
      <c r="U236" t="e">
        <v>#N/A</v>
      </c>
      <c r="V236" t="e">
        <f>0.33*#REF!+0.67*#REF!</f>
        <v>#REF!</v>
      </c>
      <c r="W236" t="e">
        <v>#N/A</v>
      </c>
    </row>
    <row r="237" spans="2:23">
      <c r="B237">
        <v>112.87</v>
      </c>
      <c r="C237">
        <v>107.94</v>
      </c>
      <c r="D237" s="7">
        <f t="shared" si="32"/>
        <v>110.405</v>
      </c>
      <c r="E237" s="23">
        <v>-15.7635557352717</v>
      </c>
      <c r="F237" s="25">
        <v>1.8145564582313101</v>
      </c>
      <c r="G237" s="11">
        <f t="shared" si="33"/>
        <v>-83.433534771288819</v>
      </c>
      <c r="H237" s="11">
        <f t="shared" si="34"/>
        <v>13.002812165632946</v>
      </c>
      <c r="I237" s="35">
        <f t="shared" si="35"/>
        <v>3.8453220244273306E-2</v>
      </c>
      <c r="J237" s="35">
        <f t="shared" si="36"/>
        <v>0.05</v>
      </c>
      <c r="K237" s="35">
        <f t="shared" si="37"/>
        <v>0.05</v>
      </c>
      <c r="L237" s="39">
        <f t="shared" si="38"/>
        <v>103.84722885342607</v>
      </c>
      <c r="M237" s="35">
        <f t="shared" si="39"/>
        <v>100.92981432378448</v>
      </c>
      <c r="N237" s="6" t="e">
        <f ca="1"/>
        <v>#NAME?</v>
      </c>
      <c r="O237" s="6" t="e">
        <f ca="1"/>
        <v>#NAME?</v>
      </c>
      <c r="P237" t="e">
        <f t="shared" ca="1" si="40"/>
        <v>#NAME?</v>
      </c>
      <c r="Q237" t="e">
        <f t="shared" ca="1" si="41"/>
        <v>#NAME?</v>
      </c>
      <c r="R237" t="e">
        <f t="shared" ca="1" si="42"/>
        <v>#NAME?</v>
      </c>
      <c r="S237" t="e">
        <v>#N/A</v>
      </c>
      <c r="T237" t="e">
        <v>#N/A</v>
      </c>
      <c r="U237" t="e">
        <v>#N/A</v>
      </c>
      <c r="V237" t="e">
        <f>0.33*#REF!+0.67*#REF!</f>
        <v>#REF!</v>
      </c>
      <c r="W237" t="e">
        <v>#N/A</v>
      </c>
    </row>
    <row r="238" spans="2:23">
      <c r="B238">
        <v>116.5</v>
      </c>
      <c r="C238">
        <v>112.5</v>
      </c>
      <c r="D238" s="7">
        <f t="shared" si="32"/>
        <v>114.5</v>
      </c>
      <c r="E238" s="23">
        <v>-9.7801712230748805</v>
      </c>
      <c r="F238" s="25">
        <v>-0.32770329328411002</v>
      </c>
      <c r="G238" s="11">
        <f t="shared" si="33"/>
        <v>88.080913590588409</v>
      </c>
      <c r="H238" s="11">
        <f t="shared" si="34"/>
        <v>1</v>
      </c>
      <c r="I238" s="35">
        <f t="shared" si="35"/>
        <v>0.5</v>
      </c>
      <c r="J238" s="35">
        <f t="shared" si="36"/>
        <v>0.5</v>
      </c>
      <c r="K238" s="35">
        <f t="shared" si="37"/>
        <v>0.5</v>
      </c>
      <c r="L238" s="39">
        <f t="shared" si="38"/>
        <v>109.17361442671304</v>
      </c>
      <c r="M238" s="35">
        <f t="shared" si="39"/>
        <v>102.99076434951661</v>
      </c>
      <c r="N238" s="6" t="e">
        <f ca="1"/>
        <v>#NAME?</v>
      </c>
      <c r="O238" s="6" t="e">
        <f ca="1"/>
        <v>#NAME?</v>
      </c>
      <c r="P238" t="e">
        <f t="shared" ca="1" si="40"/>
        <v>#NAME?</v>
      </c>
      <c r="Q238" t="e">
        <f t="shared" ca="1" si="41"/>
        <v>#NAME?</v>
      </c>
      <c r="R238" t="e">
        <f t="shared" ca="1" si="42"/>
        <v>#NAME?</v>
      </c>
      <c r="S238" t="e">
        <v>#N/A</v>
      </c>
      <c r="T238" t="e">
        <v>#N/A</v>
      </c>
      <c r="U238" t="e">
        <v>#N/A</v>
      </c>
      <c r="V238" t="e">
        <f>0.33*#REF!+0.67*#REF!</f>
        <v>#REF!</v>
      </c>
      <c r="W238" t="e">
        <v>#N/A</v>
      </c>
    </row>
    <row r="239" spans="2:23">
      <c r="B239">
        <v>119.19</v>
      </c>
      <c r="C239">
        <v>115.44</v>
      </c>
      <c r="D239" s="7">
        <f t="shared" si="32"/>
        <v>117.315</v>
      </c>
      <c r="E239" s="23">
        <v>-1.4530435472633401</v>
      </c>
      <c r="F239" s="25">
        <v>-2.51142613762282</v>
      </c>
      <c r="G239" s="11">
        <f t="shared" si="33"/>
        <v>30.05251845788035</v>
      </c>
      <c r="H239" s="11">
        <f t="shared" si="34"/>
        <v>58.028395132708056</v>
      </c>
      <c r="I239" s="35">
        <f t="shared" si="35"/>
        <v>8.6164712785270874E-3</v>
      </c>
      <c r="J239" s="35">
        <f t="shared" si="36"/>
        <v>0.05</v>
      </c>
      <c r="K239" s="35">
        <f t="shared" si="37"/>
        <v>0.05</v>
      </c>
      <c r="L239" s="39">
        <f t="shared" si="38"/>
        <v>109.5806837053774</v>
      </c>
      <c r="M239" s="35">
        <f t="shared" si="39"/>
        <v>103.15551233341313</v>
      </c>
      <c r="N239" s="6" t="e">
        <f ca="1"/>
        <v>#NAME?</v>
      </c>
      <c r="O239" s="6" t="e">
        <f ca="1"/>
        <v>#NAME?</v>
      </c>
      <c r="P239" t="e">
        <f t="shared" ca="1" si="40"/>
        <v>#NAME?</v>
      </c>
      <c r="Q239" t="e">
        <f t="shared" ca="1" si="41"/>
        <v>#NAME?</v>
      </c>
      <c r="R239" t="e">
        <f t="shared" ca="1" si="42"/>
        <v>#NAME?</v>
      </c>
      <c r="S239" t="e">
        <v>#N/A</v>
      </c>
      <c r="T239" t="e">
        <v>#N/A</v>
      </c>
      <c r="U239" t="e">
        <v>#N/A</v>
      </c>
      <c r="V239" t="e">
        <f>0.33*#REF!+0.67*#REF!</f>
        <v>#REF!</v>
      </c>
      <c r="W239" t="e">
        <v>#N/A</v>
      </c>
    </row>
    <row r="240" spans="2:23">
      <c r="B240">
        <v>121</v>
      </c>
      <c r="C240">
        <v>115.5</v>
      </c>
      <c r="D240" s="7">
        <f t="shared" si="32"/>
        <v>118.25</v>
      </c>
      <c r="E240" s="23">
        <v>8.5090971942229903</v>
      </c>
      <c r="F240" s="25">
        <v>-1.2807406075201999</v>
      </c>
      <c r="G240" s="11">
        <f t="shared" si="33"/>
        <v>-81.440419088977706</v>
      </c>
      <c r="H240" s="11">
        <f t="shared" si="34"/>
        <v>111.49293754685806</v>
      </c>
      <c r="I240" s="35">
        <f t="shared" si="35"/>
        <v>4.484588988337139E-3</v>
      </c>
      <c r="J240" s="35">
        <f t="shared" si="36"/>
        <v>0.05</v>
      </c>
      <c r="K240" s="35">
        <f t="shared" si="37"/>
        <v>0.05</v>
      </c>
      <c r="L240" s="39">
        <f t="shared" si="38"/>
        <v>110.01414952010852</v>
      </c>
      <c r="M240" s="35">
        <f t="shared" si="39"/>
        <v>103.32697826308052</v>
      </c>
      <c r="N240" s="6" t="e">
        <f ca="1"/>
        <v>#NAME?</v>
      </c>
      <c r="O240" s="6" t="e">
        <f ca="1"/>
        <v>#NAME?</v>
      </c>
      <c r="P240" t="e">
        <f t="shared" ca="1" si="40"/>
        <v>#NAME?</v>
      </c>
      <c r="Q240" t="e">
        <f t="shared" ca="1" si="41"/>
        <v>#NAME?</v>
      </c>
      <c r="R240" t="e">
        <f t="shared" ca="1" si="42"/>
        <v>#NAME?</v>
      </c>
      <c r="S240" t="e">
        <v>#N/A</v>
      </c>
      <c r="T240" t="e">
        <v>#N/A</v>
      </c>
      <c r="U240" t="e">
        <v>#N/A</v>
      </c>
      <c r="V240" t="e">
        <f>0.33*#REF!+0.67*#REF!</f>
        <v>#REF!</v>
      </c>
      <c r="W240" t="e">
        <v>#N/A</v>
      </c>
    </row>
    <row r="241" spans="2:23">
      <c r="B241">
        <v>122.12</v>
      </c>
      <c r="C241">
        <v>112.25</v>
      </c>
      <c r="D241" s="7">
        <f t="shared" si="32"/>
        <v>117.185</v>
      </c>
      <c r="E241" s="23">
        <v>15.536627133006</v>
      </c>
      <c r="F241" s="25">
        <v>1.4816605883429901</v>
      </c>
      <c r="G241" s="11">
        <f t="shared" si="33"/>
        <v>84.552425242608933</v>
      </c>
      <c r="H241" s="11">
        <f t="shared" si="34"/>
        <v>1</v>
      </c>
      <c r="I241" s="35">
        <f t="shared" si="35"/>
        <v>0.5</v>
      </c>
      <c r="J241" s="35">
        <f t="shared" si="36"/>
        <v>0.5</v>
      </c>
      <c r="K241" s="35">
        <f t="shared" si="37"/>
        <v>0.5</v>
      </c>
      <c r="L241" s="39">
        <f t="shared" si="38"/>
        <v>113.59957476005425</v>
      </c>
      <c r="M241" s="35">
        <f t="shared" si="39"/>
        <v>105.89512738732395</v>
      </c>
      <c r="N241" s="6" t="e">
        <f ca="1"/>
        <v>#NAME?</v>
      </c>
      <c r="O241" s="6" t="e">
        <f ca="1"/>
        <v>#NAME?</v>
      </c>
      <c r="P241" t="e">
        <f t="shared" ca="1" si="40"/>
        <v>#NAME?</v>
      </c>
      <c r="Q241" t="e">
        <f t="shared" ca="1" si="41"/>
        <v>#NAME?</v>
      </c>
      <c r="R241" t="e">
        <f t="shared" ca="1" si="42"/>
        <v>#NAME?</v>
      </c>
      <c r="S241" t="e">
        <v>#N/A</v>
      </c>
      <c r="T241" t="e">
        <v>#N/A</v>
      </c>
      <c r="U241" t="e">
        <v>#N/A</v>
      </c>
      <c r="V241" t="e">
        <f>0.33*#REF!+0.67*#REF!</f>
        <v>#REF!</v>
      </c>
      <c r="W241" t="e">
        <v>#N/A</v>
      </c>
    </row>
    <row r="242" spans="2:23">
      <c r="B242">
        <v>111.94</v>
      </c>
      <c r="C242">
        <v>107.56</v>
      </c>
      <c r="D242" s="7">
        <f t="shared" si="32"/>
        <v>109.75</v>
      </c>
      <c r="E242" s="23">
        <v>19.521375917282601</v>
      </c>
      <c r="F242" s="25">
        <v>6.8349691240749397</v>
      </c>
      <c r="G242" s="11">
        <f t="shared" si="33"/>
        <v>70.703449774586176</v>
      </c>
      <c r="H242" s="11">
        <f t="shared" si="34"/>
        <v>13.848975468022758</v>
      </c>
      <c r="I242" s="35">
        <f t="shared" si="35"/>
        <v>3.6103753750918142E-2</v>
      </c>
      <c r="J242" s="35">
        <f t="shared" si="36"/>
        <v>0.05</v>
      </c>
      <c r="K242" s="35">
        <f t="shared" si="37"/>
        <v>0.05</v>
      </c>
      <c r="L242" s="39">
        <f t="shared" si="38"/>
        <v>113.40709602205153</v>
      </c>
      <c r="M242" s="35">
        <f t="shared" si="39"/>
        <v>106.08292660319213</v>
      </c>
      <c r="N242" s="6" t="e">
        <f ca="1"/>
        <v>#NAME?</v>
      </c>
      <c r="O242" s="6" t="e">
        <f ca="1"/>
        <v>#NAME?</v>
      </c>
      <c r="P242" t="e">
        <f t="shared" ca="1" si="40"/>
        <v>#NAME?</v>
      </c>
      <c r="Q242" t="e">
        <f t="shared" ca="1" si="41"/>
        <v>#NAME?</v>
      </c>
      <c r="R242" t="e">
        <f t="shared" ca="1" si="42"/>
        <v>#NAME?</v>
      </c>
      <c r="S242" t="e">
        <v>#N/A</v>
      </c>
      <c r="T242" t="e">
        <v>#N/A</v>
      </c>
      <c r="U242" t="e">
        <v>#N/A</v>
      </c>
      <c r="V242" t="e">
        <f>0.33*#REF!+0.67*#REF!</f>
        <v>#REF!</v>
      </c>
      <c r="W242" t="e">
        <v>#N/A</v>
      </c>
    </row>
    <row r="243" spans="2:23">
      <c r="B243">
        <v>112.75</v>
      </c>
      <c r="C243">
        <v>106.56</v>
      </c>
      <c r="D243" s="7">
        <f t="shared" si="32"/>
        <v>109.655</v>
      </c>
      <c r="E243" s="23">
        <v>12.4727640008044</v>
      </c>
      <c r="F243" s="25">
        <v>12.293350954901401</v>
      </c>
      <c r="G243" s="11">
        <f t="shared" si="33"/>
        <v>45.415060275698075</v>
      </c>
      <c r="H243" s="11">
        <f t="shared" si="34"/>
        <v>25.288389498888101</v>
      </c>
      <c r="I243" s="35">
        <f t="shared" si="35"/>
        <v>1.9771919442398037E-2</v>
      </c>
      <c r="J243" s="35">
        <f t="shared" si="36"/>
        <v>0.05</v>
      </c>
      <c r="K243" s="35">
        <f t="shared" si="37"/>
        <v>0.05</v>
      </c>
      <c r="L243" s="39">
        <f t="shared" si="38"/>
        <v>113.21949122094895</v>
      </c>
      <c r="M243" s="35">
        <f t="shared" si="39"/>
        <v>106.26134071863605</v>
      </c>
      <c r="N243" s="6" t="e">
        <f ca="1"/>
        <v>#NAME?</v>
      </c>
      <c r="O243" s="6" t="e">
        <f ca="1"/>
        <v>#NAME?</v>
      </c>
      <c r="P243" t="e">
        <f t="shared" ca="1" si="40"/>
        <v>#NAME?</v>
      </c>
      <c r="Q243" t="e">
        <f t="shared" ca="1" si="41"/>
        <v>#NAME?</v>
      </c>
      <c r="R243" t="e">
        <f t="shared" ca="1" si="42"/>
        <v>#NAME?</v>
      </c>
      <c r="S243" t="e">
        <v>#N/A</v>
      </c>
      <c r="T243" t="e">
        <v>#N/A</v>
      </c>
      <c r="U243" t="e">
        <v>#N/A</v>
      </c>
      <c r="V243" t="e">
        <f>0.33*#REF!+0.67*#REF!</f>
        <v>#REF!</v>
      </c>
      <c r="W243" t="e">
        <v>#N/A</v>
      </c>
    </row>
    <row r="244" spans="2:23">
      <c r="B244">
        <v>110.19</v>
      </c>
      <c r="C244">
        <v>106.87</v>
      </c>
      <c r="D244" s="7">
        <f t="shared" si="32"/>
        <v>108.53</v>
      </c>
      <c r="E244" s="23">
        <v>-1.87339714763586</v>
      </c>
      <c r="F244" s="25">
        <v>14.0337638058356</v>
      </c>
      <c r="G244" s="11">
        <f t="shared" si="33"/>
        <v>-7.603583140226907</v>
      </c>
      <c r="H244" s="11">
        <f t="shared" si="34"/>
        <v>53.018643415924984</v>
      </c>
      <c r="I244" s="35">
        <f t="shared" si="35"/>
        <v>9.4306449163091399E-3</v>
      </c>
      <c r="J244" s="35">
        <f t="shared" si="36"/>
        <v>0.05</v>
      </c>
      <c r="K244" s="35">
        <f t="shared" si="37"/>
        <v>0.05</v>
      </c>
      <c r="L244" s="39">
        <f t="shared" si="38"/>
        <v>112.9850166599015</v>
      </c>
      <c r="M244" s="35">
        <f t="shared" si="39"/>
        <v>106.42943261716769</v>
      </c>
      <c r="N244" s="6" t="e">
        <f ca="1"/>
        <v>#NAME?</v>
      </c>
      <c r="O244" s="6" t="e">
        <f ca="1"/>
        <v>#NAME?</v>
      </c>
      <c r="P244" t="e">
        <f t="shared" ca="1" si="40"/>
        <v>#NAME?</v>
      </c>
      <c r="Q244" t="e">
        <f t="shared" ca="1" si="41"/>
        <v>#NAME?</v>
      </c>
      <c r="R244" t="e">
        <f t="shared" ca="1" si="42"/>
        <v>#NAME?</v>
      </c>
      <c r="S244" t="e">
        <v>#N/A</v>
      </c>
      <c r="T244" t="e">
        <v>#N/A</v>
      </c>
      <c r="U244" t="e">
        <v>#N/A</v>
      </c>
      <c r="V244" t="e">
        <f>0.33*#REF!+0.67*#REF!</f>
        <v>#REF!</v>
      </c>
      <c r="W244" t="e">
        <v>#N/A</v>
      </c>
    </row>
    <row r="245" spans="2:23">
      <c r="B245">
        <v>107.94</v>
      </c>
      <c r="C245">
        <v>104.5</v>
      </c>
      <c r="D245" s="7">
        <f t="shared" si="32"/>
        <v>106.22</v>
      </c>
      <c r="E245" s="23">
        <v>-15.2576036378734</v>
      </c>
      <c r="F245" s="25">
        <v>11.7623096904418</v>
      </c>
      <c r="G245" s="11">
        <f t="shared" si="33"/>
        <v>-52.370845039765342</v>
      </c>
      <c r="H245" s="11">
        <f t="shared" si="34"/>
        <v>44.767261899538433</v>
      </c>
      <c r="I245" s="35">
        <f t="shared" si="35"/>
        <v>1.1168876066667709E-2</v>
      </c>
      <c r="J245" s="35">
        <f t="shared" si="36"/>
        <v>0.05</v>
      </c>
      <c r="K245" s="35">
        <f t="shared" si="37"/>
        <v>0.05</v>
      </c>
      <c r="L245" s="39">
        <f t="shared" si="38"/>
        <v>112.64676582690643</v>
      </c>
      <c r="M245" s="35">
        <f t="shared" si="39"/>
        <v>106.58486594741116</v>
      </c>
      <c r="N245" s="6" t="e">
        <f ca="1"/>
        <v>#NAME?</v>
      </c>
      <c r="O245" s="6" t="e">
        <f ca="1"/>
        <v>#NAME?</v>
      </c>
      <c r="P245" t="e">
        <f t="shared" ca="1" si="40"/>
        <v>#NAME?</v>
      </c>
      <c r="Q245" t="e">
        <f t="shared" ca="1" si="41"/>
        <v>#NAME?</v>
      </c>
      <c r="R245" t="e">
        <f t="shared" ca="1" si="42"/>
        <v>#NAME?</v>
      </c>
      <c r="S245" t="e">
        <v>#N/A</v>
      </c>
      <c r="T245" t="e">
        <v>#N/A</v>
      </c>
      <c r="U245" t="e">
        <v>#N/A</v>
      </c>
      <c r="V245" t="e">
        <f>0.33*#REF!+0.67*#REF!</f>
        <v>#REF!</v>
      </c>
      <c r="W245" t="e">
        <v>#N/A</v>
      </c>
    </row>
    <row r="246" spans="2:23">
      <c r="B246">
        <v>109.69</v>
      </c>
      <c r="C246">
        <v>105.75</v>
      </c>
      <c r="D246" s="7">
        <f t="shared" si="32"/>
        <v>107.72</v>
      </c>
      <c r="E246" s="23">
        <v>-26.227633864186199</v>
      </c>
      <c r="F246" s="25">
        <v>6.3689895877927496</v>
      </c>
      <c r="G246" s="11">
        <f t="shared" si="33"/>
        <v>-76.350774534068833</v>
      </c>
      <c r="H246" s="11">
        <f t="shared" si="34"/>
        <v>23.979929494303491</v>
      </c>
      <c r="I246" s="35">
        <f t="shared" si="35"/>
        <v>2.085077022927764E-2</v>
      </c>
      <c r="J246" s="35">
        <f t="shared" si="36"/>
        <v>0.05</v>
      </c>
      <c r="K246" s="35">
        <f t="shared" si="37"/>
        <v>0.05</v>
      </c>
      <c r="L246" s="39">
        <f t="shared" si="38"/>
        <v>112.40042753556111</v>
      </c>
      <c r="M246" s="35">
        <f t="shared" si="39"/>
        <v>106.7302549871149</v>
      </c>
      <c r="N246" s="6" t="e">
        <f ca="1"/>
        <v>#NAME?</v>
      </c>
      <c r="O246" s="6" t="e">
        <f ca="1"/>
        <v>#NAME?</v>
      </c>
      <c r="P246" t="e">
        <f t="shared" ca="1" si="40"/>
        <v>#NAME?</v>
      </c>
      <c r="Q246" t="e">
        <f t="shared" ca="1" si="41"/>
        <v>#NAME?</v>
      </c>
      <c r="R246" t="e">
        <f t="shared" ca="1" si="42"/>
        <v>#NAME?</v>
      </c>
      <c r="S246" t="e">
        <v>#N/A</v>
      </c>
      <c r="T246" t="e">
        <v>#N/A</v>
      </c>
      <c r="U246" t="e">
        <v>#N/A</v>
      </c>
      <c r="V246" t="e">
        <f>0.33*#REF!+0.67*#REF!</f>
        <v>#REF!</v>
      </c>
      <c r="W246" t="e">
        <v>#N/A</v>
      </c>
    </row>
    <row r="247" spans="2:23">
      <c r="B247">
        <v>111.06</v>
      </c>
      <c r="C247">
        <v>108.62</v>
      </c>
      <c r="D247" s="7">
        <f t="shared" si="32"/>
        <v>109.84</v>
      </c>
      <c r="E247" s="23">
        <v>-26.102861993236498</v>
      </c>
      <c r="F247" s="25">
        <v>-2.9916104221273199</v>
      </c>
      <c r="G247" s="11">
        <f t="shared" si="33"/>
        <v>83.461941877323241</v>
      </c>
      <c r="H247" s="11">
        <f t="shared" si="34"/>
        <v>1</v>
      </c>
      <c r="I247" s="35">
        <f t="shared" si="35"/>
        <v>0.5</v>
      </c>
      <c r="J247" s="35">
        <f t="shared" si="36"/>
        <v>0.5</v>
      </c>
      <c r="K247" s="35">
        <f t="shared" si="37"/>
        <v>0.5</v>
      </c>
      <c r="L247" s="39">
        <f t="shared" si="38"/>
        <v>111.12021376778056</v>
      </c>
      <c r="M247" s="35">
        <f t="shared" si="39"/>
        <v>107.82774468228132</v>
      </c>
      <c r="N247" s="6" t="e">
        <f ca="1"/>
        <v>#NAME?</v>
      </c>
      <c r="O247" s="6" t="e">
        <f ca="1"/>
        <v>#NAME?</v>
      </c>
      <c r="P247" t="e">
        <f t="shared" ca="1" si="40"/>
        <v>#NAME?</v>
      </c>
      <c r="Q247" t="e">
        <f t="shared" ca="1" si="41"/>
        <v>#NAME?</v>
      </c>
      <c r="R247" t="e">
        <f t="shared" ca="1" si="42"/>
        <v>#NAME?</v>
      </c>
      <c r="S247" t="e">
        <v>#N/A</v>
      </c>
      <c r="T247" t="e">
        <v>#N/A</v>
      </c>
      <c r="U247" t="e">
        <v>#N/A</v>
      </c>
      <c r="V247" t="e">
        <f>0.33*#REF!+0.67*#REF!</f>
        <v>#REF!</v>
      </c>
      <c r="W247" t="e">
        <v>#N/A</v>
      </c>
    </row>
    <row r="248" spans="2:23">
      <c r="B248">
        <v>110.44</v>
      </c>
      <c r="C248">
        <v>107.75</v>
      </c>
      <c r="D248" s="7">
        <f t="shared" si="32"/>
        <v>109.095</v>
      </c>
      <c r="E248" s="23">
        <v>-10.637560716706901</v>
      </c>
      <c r="F248" s="25">
        <v>-9.1496651812066307</v>
      </c>
      <c r="G248" s="11">
        <f t="shared" si="33"/>
        <v>49.300249194934409</v>
      </c>
      <c r="H248" s="11">
        <f t="shared" si="34"/>
        <v>34.161692682388832</v>
      </c>
      <c r="I248" s="35">
        <f t="shared" si="35"/>
        <v>1.463627709108694E-2</v>
      </c>
      <c r="J248" s="35">
        <f t="shared" si="36"/>
        <v>0.05</v>
      </c>
      <c r="K248" s="35">
        <f t="shared" si="37"/>
        <v>0.05</v>
      </c>
      <c r="L248" s="39">
        <f t="shared" si="38"/>
        <v>111.01895307939152</v>
      </c>
      <c r="M248" s="35">
        <f t="shared" si="39"/>
        <v>107.90752489220908</v>
      </c>
      <c r="N248" s="6" t="e">
        <f ca="1"/>
        <v>#NAME?</v>
      </c>
      <c r="O248" s="6" t="e">
        <f ca="1"/>
        <v>#NAME?</v>
      </c>
      <c r="P248" t="e">
        <f t="shared" ca="1" si="40"/>
        <v>#NAME?</v>
      </c>
      <c r="Q248" t="e">
        <f t="shared" ca="1" si="41"/>
        <v>#NAME?</v>
      </c>
      <c r="R248" t="e">
        <f t="shared" ca="1" si="42"/>
        <v>#NAME?</v>
      </c>
      <c r="S248" t="e">
        <v>#N/A</v>
      </c>
      <c r="T248" t="e">
        <v>#N/A</v>
      </c>
      <c r="U248" t="e">
        <v>#N/A</v>
      </c>
      <c r="V248" t="e">
        <f>0.33*#REF!+0.67*#REF!</f>
        <v>#REF!</v>
      </c>
      <c r="W248" t="e">
        <v>#N/A</v>
      </c>
    </row>
    <row r="249" spans="2:23">
      <c r="B249">
        <v>110.12</v>
      </c>
      <c r="C249">
        <v>108.06</v>
      </c>
      <c r="D249" s="7">
        <f t="shared" si="32"/>
        <v>109.09</v>
      </c>
      <c r="E249" s="23">
        <v>0.571698633979417</v>
      </c>
      <c r="F249" s="25">
        <v>-8.5317201235389302</v>
      </c>
      <c r="G249" s="11">
        <f t="shared" si="33"/>
        <v>-3.8335791267446164</v>
      </c>
      <c r="H249" s="11">
        <f t="shared" si="34"/>
        <v>53.133828321679026</v>
      </c>
      <c r="I249" s="35">
        <f t="shared" si="35"/>
        <v>9.4102009170680435E-3</v>
      </c>
      <c r="J249" s="35">
        <f t="shared" si="36"/>
        <v>0.05</v>
      </c>
      <c r="K249" s="35">
        <f t="shared" si="37"/>
        <v>0.05</v>
      </c>
      <c r="L249" s="39">
        <f t="shared" si="38"/>
        <v>110.92250542542193</v>
      </c>
      <c r="M249" s="35">
        <f t="shared" si="39"/>
        <v>107.98289940553941</v>
      </c>
      <c r="N249" s="6" t="e">
        <f ca="1"/>
        <v>#NAME?</v>
      </c>
      <c r="O249" s="6" t="e">
        <f ca="1"/>
        <v>#NAME?</v>
      </c>
      <c r="P249" t="e">
        <f t="shared" ca="1" si="40"/>
        <v>#NAME?</v>
      </c>
      <c r="Q249" t="e">
        <f t="shared" ca="1" si="41"/>
        <v>#NAME?</v>
      </c>
      <c r="R249" t="e">
        <f t="shared" ca="1" si="42"/>
        <v>#NAME?</v>
      </c>
      <c r="S249" t="e">
        <v>#N/A</v>
      </c>
      <c r="T249" t="e">
        <v>#N/A</v>
      </c>
      <c r="U249" t="e">
        <v>#N/A</v>
      </c>
      <c r="V249" t="e">
        <f>0.33*#REF!+0.67*#REF!</f>
        <v>#REF!</v>
      </c>
      <c r="W249" t="e">
        <v>#N/A</v>
      </c>
    </row>
    <row r="250" spans="2:23">
      <c r="B250">
        <v>110.31</v>
      </c>
      <c r="C250">
        <v>108</v>
      </c>
      <c r="D250" s="7">
        <f t="shared" si="32"/>
        <v>109.155</v>
      </c>
      <c r="E250" s="23">
        <v>6.4028836988426496</v>
      </c>
      <c r="F250" s="25">
        <v>-7.61738027465766</v>
      </c>
      <c r="G250" s="11">
        <f t="shared" si="33"/>
        <v>-40.049147714656378</v>
      </c>
      <c r="H250" s="11">
        <f t="shared" si="34"/>
        <v>36.215568587911761</v>
      </c>
      <c r="I250" s="35">
        <f t="shared" si="35"/>
        <v>1.3806217035810749E-2</v>
      </c>
      <c r="J250" s="35">
        <f t="shared" si="36"/>
        <v>0.05</v>
      </c>
      <c r="K250" s="35">
        <f t="shared" si="37"/>
        <v>0.05</v>
      </c>
      <c r="L250" s="39">
        <f t="shared" si="38"/>
        <v>110.83413015415084</v>
      </c>
      <c r="M250" s="35">
        <f t="shared" si="39"/>
        <v>108.0541801742547</v>
      </c>
      <c r="N250" s="6" t="e">
        <f ca="1"/>
        <v>#NAME?</v>
      </c>
      <c r="O250" s="6" t="e">
        <f ca="1"/>
        <v>#NAME?</v>
      </c>
      <c r="P250" t="e">
        <f t="shared" ca="1" si="40"/>
        <v>#NAME?</v>
      </c>
      <c r="Q250" t="e">
        <f t="shared" ca="1" si="41"/>
        <v>#NAME?</v>
      </c>
      <c r="R250" t="e">
        <f t="shared" ca="1" si="42"/>
        <v>#NAME?</v>
      </c>
      <c r="S250" t="e">
        <v>#N/A</v>
      </c>
      <c r="T250" t="e">
        <v>#N/A</v>
      </c>
      <c r="U250" t="e">
        <v>#N/A</v>
      </c>
      <c r="V250" t="e">
        <f>0.33*#REF!+0.67*#REF!</f>
        <v>#REF!</v>
      </c>
      <c r="W250" t="e">
        <v>#N/A</v>
      </c>
    </row>
    <row r="251" spans="2:23">
      <c r="B251">
        <v>110.44</v>
      </c>
      <c r="C251">
        <v>108.19</v>
      </c>
      <c r="D251" s="7">
        <f t="shared" si="32"/>
        <v>109.315</v>
      </c>
      <c r="E251" s="23">
        <v>11.6669539404801</v>
      </c>
      <c r="F251" s="25">
        <v>-4.27219546995304</v>
      </c>
      <c r="G251" s="11">
        <f t="shared" si="33"/>
        <v>-69.888321929239055</v>
      </c>
      <c r="H251" s="11">
        <f t="shared" si="34"/>
        <v>29.839174214582677</v>
      </c>
      <c r="I251" s="35">
        <f t="shared" si="35"/>
        <v>1.6756495887062631E-2</v>
      </c>
      <c r="J251" s="35">
        <f t="shared" si="36"/>
        <v>0.05</v>
      </c>
      <c r="K251" s="35">
        <f t="shared" si="37"/>
        <v>0.05</v>
      </c>
      <c r="L251" s="39">
        <f t="shared" si="38"/>
        <v>110.7581736464433</v>
      </c>
      <c r="M251" s="35">
        <f t="shared" si="39"/>
        <v>108.1217800110594</v>
      </c>
      <c r="N251" s="6" t="e">
        <f ca="1"/>
        <v>#NAME?</v>
      </c>
      <c r="O251" s="6" t="e">
        <f ca="1"/>
        <v>#NAME?</v>
      </c>
      <c r="P251" t="e">
        <f t="shared" ca="1" si="40"/>
        <v>#NAME?</v>
      </c>
      <c r="Q251" t="e">
        <f t="shared" ca="1" si="41"/>
        <v>#NAME?</v>
      </c>
      <c r="R251" t="e">
        <f t="shared" ca="1" si="42"/>
        <v>#NAME?</v>
      </c>
      <c r="S251" t="e">
        <v>#N/A</v>
      </c>
      <c r="T251" t="e">
        <v>#N/A</v>
      </c>
      <c r="U251" t="e">
        <v>#N/A</v>
      </c>
      <c r="V251" t="e">
        <f>0.33*#REF!+0.67*#REF!</f>
        <v>#REF!</v>
      </c>
      <c r="W251" t="e">
        <v>#N/A</v>
      </c>
    </row>
    <row r="252" spans="2:23">
      <c r="B252">
        <v>110</v>
      </c>
      <c r="C252">
        <v>108.12</v>
      </c>
      <c r="D252" s="7">
        <f t="shared" si="32"/>
        <v>109.06</v>
      </c>
      <c r="E252" s="23">
        <v>8.6355686833119396</v>
      </c>
      <c r="F252" s="25">
        <v>-0.120668292809277</v>
      </c>
      <c r="G252" s="11">
        <f t="shared" si="33"/>
        <v>-89.199435008942146</v>
      </c>
      <c r="H252" s="11">
        <f t="shared" si="34"/>
        <v>19.311113079703091</v>
      </c>
      <c r="I252" s="35">
        <f t="shared" si="35"/>
        <v>2.5891827049861982E-2</v>
      </c>
      <c r="J252" s="35">
        <f t="shared" si="36"/>
        <v>0.05</v>
      </c>
      <c r="K252" s="35">
        <f t="shared" si="37"/>
        <v>0.05</v>
      </c>
      <c r="L252" s="39">
        <f t="shared" si="38"/>
        <v>110.67326496412113</v>
      </c>
      <c r="M252" s="35">
        <f t="shared" si="39"/>
        <v>108.18556713488594</v>
      </c>
      <c r="N252" s="6" t="e">
        <f ca="1"/>
        <v>#NAME?</v>
      </c>
      <c r="O252" s="6" t="e">
        <f ca="1"/>
        <v>#NAME?</v>
      </c>
      <c r="P252" t="e">
        <f t="shared" ca="1" si="40"/>
        <v>#NAME?</v>
      </c>
      <c r="Q252" t="e">
        <f t="shared" ca="1" si="41"/>
        <v>#NAME?</v>
      </c>
      <c r="R252" t="e">
        <f t="shared" ca="1" si="42"/>
        <v>#NAME?</v>
      </c>
      <c r="S252" t="e">
        <v>#N/A</v>
      </c>
      <c r="T252" t="e">
        <v>#N/A</v>
      </c>
      <c r="U252" t="e">
        <v>#N/A</v>
      </c>
      <c r="V252" t="e">
        <f>0.33*#REF!+0.67*#REF!</f>
        <v>#REF!</v>
      </c>
      <c r="W252" t="e">
        <v>#N/A</v>
      </c>
    </row>
    <row r="253" spans="2:23">
      <c r="B253">
        <v>110.75</v>
      </c>
      <c r="C253">
        <v>109.06</v>
      </c>
      <c r="D253" s="7">
        <f t="shared" si="32"/>
        <v>109.905</v>
      </c>
      <c r="E253" s="23">
        <v>3.0938152057236699</v>
      </c>
      <c r="F253" s="25">
        <v>1.28701279149952</v>
      </c>
      <c r="G253" s="11">
        <f t="shared" si="33"/>
        <v>67.412915766314157</v>
      </c>
      <c r="H253" s="11">
        <f t="shared" si="34"/>
        <v>1</v>
      </c>
      <c r="I253" s="35">
        <f t="shared" si="35"/>
        <v>0.5</v>
      </c>
      <c r="J253" s="35">
        <f t="shared" si="36"/>
        <v>0.5</v>
      </c>
      <c r="K253" s="35">
        <f t="shared" si="37"/>
        <v>0.5</v>
      </c>
      <c r="L253" s="39">
        <f t="shared" si="38"/>
        <v>110.28913248206057</v>
      </c>
      <c r="M253" s="35">
        <f t="shared" si="39"/>
        <v>108.71145847167959</v>
      </c>
      <c r="N253" s="6" t="e">
        <f ca="1"/>
        <v>#NAME?</v>
      </c>
      <c r="O253" s="6" t="e">
        <f ca="1"/>
        <v>#NAME?</v>
      </c>
      <c r="P253" t="e">
        <f t="shared" ca="1" si="40"/>
        <v>#NAME?</v>
      </c>
      <c r="Q253" t="e">
        <f t="shared" ca="1" si="41"/>
        <v>#NAME?</v>
      </c>
      <c r="R253" t="e">
        <f t="shared" ca="1" si="42"/>
        <v>#NAME?</v>
      </c>
      <c r="S253" t="e">
        <v>#N/A</v>
      </c>
      <c r="T253" t="e">
        <v>#N/A</v>
      </c>
      <c r="U253" t="e">
        <v>#N/A</v>
      </c>
      <c r="V253" t="e">
        <f>0.33*#REF!+0.67*#REF!</f>
        <v>#REF!</v>
      </c>
      <c r="W253" t="e">
        <v>#N/A</v>
      </c>
    </row>
    <row r="254" spans="2:23">
      <c r="B254">
        <v>110.5</v>
      </c>
      <c r="C254">
        <v>108.75</v>
      </c>
      <c r="D254" s="7">
        <f t="shared" si="32"/>
        <v>109.625</v>
      </c>
      <c r="E254" s="23">
        <v>0.318119747396578</v>
      </c>
      <c r="F254" s="25">
        <v>1.2183925118060299</v>
      </c>
      <c r="G254" s="11">
        <f t="shared" si="33"/>
        <v>14.633123274687909</v>
      </c>
      <c r="H254" s="11">
        <f t="shared" si="34"/>
        <v>52.779792491626246</v>
      </c>
      <c r="I254" s="35">
        <f t="shared" si="35"/>
        <v>9.4733225804047496E-3</v>
      </c>
      <c r="J254" s="35">
        <f t="shared" si="36"/>
        <v>0.05</v>
      </c>
      <c r="K254" s="35">
        <f t="shared" si="37"/>
        <v>0.05</v>
      </c>
      <c r="L254" s="39">
        <f t="shared" si="38"/>
        <v>110.25592585795754</v>
      </c>
      <c r="M254" s="35">
        <f t="shared" si="39"/>
        <v>108.75007015633655</v>
      </c>
      <c r="N254" s="6" t="e">
        <f ca="1"/>
        <v>#NAME?</v>
      </c>
      <c r="O254" s="6" t="e">
        <f ca="1"/>
        <v>#NAME?</v>
      </c>
      <c r="P254" t="e">
        <f t="shared" ca="1" si="40"/>
        <v>#NAME?</v>
      </c>
      <c r="Q254" t="e">
        <f t="shared" ca="1" si="41"/>
        <v>#NAME?</v>
      </c>
      <c r="R254" t="e">
        <f t="shared" ca="1" si="42"/>
        <v>#NAME?</v>
      </c>
      <c r="S254" t="e">
        <v>#N/A</v>
      </c>
      <c r="T254" t="e">
        <v>#N/A</v>
      </c>
      <c r="U254" t="e">
        <v>#N/A</v>
      </c>
      <c r="V254" t="e">
        <f>0.33*#REF!+0.67*#REF!</f>
        <v>#REF!</v>
      </c>
      <c r="W254" t="e">
        <v>#N/A</v>
      </c>
    </row>
    <row r="255" spans="2:23">
      <c r="B255">
        <v>110.5</v>
      </c>
      <c r="C255">
        <v>108.56</v>
      </c>
      <c r="D255" s="7">
        <f t="shared" si="32"/>
        <v>109.53</v>
      </c>
      <c r="E255" s="23">
        <v>-0.89136296338925103</v>
      </c>
      <c r="F255" s="25">
        <v>0.83864841986802297</v>
      </c>
      <c r="G255" s="11">
        <f t="shared" si="33"/>
        <v>-46.745298709455284</v>
      </c>
      <c r="H255" s="11">
        <f t="shared" si="34"/>
        <v>61.378421984143195</v>
      </c>
      <c r="I255" s="35">
        <f t="shared" si="35"/>
        <v>8.1461853178495282E-3</v>
      </c>
      <c r="J255" s="35">
        <f t="shared" si="36"/>
        <v>0.05</v>
      </c>
      <c r="K255" s="35">
        <f t="shared" si="37"/>
        <v>0.05</v>
      </c>
      <c r="L255" s="39">
        <f t="shared" si="38"/>
        <v>110.21962956505966</v>
      </c>
      <c r="M255" s="35">
        <f t="shared" si="39"/>
        <v>108.78680914155461</v>
      </c>
      <c r="N255" s="6" t="e">
        <f ca="1"/>
        <v>#NAME?</v>
      </c>
      <c r="O255" s="6" t="e">
        <f ca="1"/>
        <v>#NAME?</v>
      </c>
      <c r="P255" t="e">
        <f t="shared" ca="1" si="40"/>
        <v>#NAME?</v>
      </c>
      <c r="Q255" t="e">
        <f t="shared" ca="1" si="41"/>
        <v>#NAME?</v>
      </c>
      <c r="R255" t="e">
        <f t="shared" ca="1" si="42"/>
        <v>#NAME?</v>
      </c>
      <c r="S255" t="e">
        <v>#N/A</v>
      </c>
      <c r="T255" t="e">
        <v>#N/A</v>
      </c>
      <c r="U255" t="e">
        <v>#N/A</v>
      </c>
      <c r="V255" t="e">
        <f>0.33*#REF!+0.67*#REF!</f>
        <v>#REF!</v>
      </c>
      <c r="W255" t="e">
        <v>#N/A</v>
      </c>
    </row>
    <row r="256" spans="2:23">
      <c r="B256">
        <v>109.5</v>
      </c>
      <c r="C256">
        <v>106.62</v>
      </c>
      <c r="D256" s="7">
        <f t="shared" si="32"/>
        <v>108.06</v>
      </c>
      <c r="E256" s="23">
        <v>-0.94470727335245697</v>
      </c>
      <c r="F256" s="25">
        <v>0.32581834418341798</v>
      </c>
      <c r="G256" s="11">
        <f t="shared" si="33"/>
        <v>-70.971292711622652</v>
      </c>
      <c r="H256" s="11">
        <f t="shared" si="34"/>
        <v>24.225994002167369</v>
      </c>
      <c r="I256" s="35">
        <f t="shared" si="35"/>
        <v>2.0638988020688344E-2</v>
      </c>
      <c r="J256" s="35">
        <f t="shared" si="36"/>
        <v>0.05</v>
      </c>
      <c r="K256" s="35">
        <f t="shared" si="37"/>
        <v>0.05</v>
      </c>
      <c r="L256" s="39">
        <f t="shared" si="38"/>
        <v>110.11164808680668</v>
      </c>
      <c r="M256" s="35">
        <f t="shared" si="39"/>
        <v>108.81993011518591</v>
      </c>
      <c r="N256" s="6" t="e">
        <f ca="1"/>
        <v>#NAME?</v>
      </c>
      <c r="O256" s="6" t="e">
        <f ca="1"/>
        <v>#NAME?</v>
      </c>
      <c r="P256" t="e">
        <f t="shared" ca="1" si="40"/>
        <v>#NAME?</v>
      </c>
      <c r="Q256" t="e">
        <f t="shared" ca="1" si="41"/>
        <v>#NAME?</v>
      </c>
      <c r="R256" t="e">
        <f t="shared" ca="1" si="42"/>
        <v>#NAME?</v>
      </c>
      <c r="S256" t="e">
        <v>#N/A</v>
      </c>
      <c r="T256" t="e">
        <v>#N/A</v>
      </c>
      <c r="U256" t="e">
        <v>#N/A</v>
      </c>
      <c r="V256" t="e">
        <f>0.33*#REF!+0.67*#REF!</f>
        <v>#REF!</v>
      </c>
      <c r="W256" t="e">
        <v>#N/A</v>
      </c>
    </row>
    <row r="257" spans="5:23">
      <c r="E257" s="1"/>
      <c r="R257" t="e">
        <f ca="1">SUM(R37:R256)</f>
        <v>#NAME?</v>
      </c>
      <c r="W257" t="e">
        <v>#N/A</v>
      </c>
    </row>
    <row r="258" spans="5:23">
      <c r="E258" s="1"/>
    </row>
    <row r="259" spans="5:23">
      <c r="E259" s="1"/>
    </row>
    <row r="260" spans="5:23">
      <c r="E260" s="1"/>
    </row>
    <row r="261" spans="5:23">
      <c r="E261" s="1"/>
    </row>
    <row r="262" spans="5:23">
      <c r="E262" s="1"/>
    </row>
    <row r="263" spans="5:23">
      <c r="E263" s="1"/>
    </row>
    <row r="264" spans="5:23">
      <c r="E264" s="1"/>
    </row>
    <row r="265" spans="5:23">
      <c r="E265" s="1"/>
    </row>
    <row r="266" spans="5:23">
      <c r="E266" s="1"/>
    </row>
    <row r="267" spans="5:23">
      <c r="E267" s="1"/>
    </row>
    <row r="268" spans="5:23">
      <c r="E268" s="1"/>
    </row>
    <row r="269" spans="5:23">
      <c r="E269" s="1"/>
    </row>
    <row r="270" spans="5:23">
      <c r="E270" s="1"/>
    </row>
    <row r="271" spans="5:23">
      <c r="E271" s="1"/>
    </row>
    <row r="272" spans="5:23">
      <c r="E272" s="1"/>
    </row>
    <row r="273" spans="5:5">
      <c r="E273" s="1"/>
    </row>
    <row r="274" spans="5:5">
      <c r="E274" s="1"/>
    </row>
    <row r="275" spans="5:5">
      <c r="E275" s="1"/>
    </row>
    <row r="276" spans="5:5">
      <c r="E276" s="1"/>
    </row>
    <row r="277" spans="5:5">
      <c r="E277" s="1"/>
    </row>
    <row r="278" spans="5:5">
      <c r="E278" s="1"/>
    </row>
    <row r="279" spans="5:5">
      <c r="E279" s="1"/>
    </row>
    <row r="280" spans="5:5">
      <c r="E280" s="1"/>
    </row>
    <row r="281" spans="5:5">
      <c r="E281" s="1"/>
    </row>
    <row r="282" spans="5:5">
      <c r="E282" s="1"/>
    </row>
    <row r="283" spans="5:5">
      <c r="E283" s="1"/>
    </row>
    <row r="284" spans="5:5">
      <c r="E284" s="1"/>
    </row>
    <row r="285" spans="5:5">
      <c r="E285" s="1"/>
    </row>
    <row r="286" spans="5:5">
      <c r="E286" s="1"/>
    </row>
    <row r="287" spans="5:5">
      <c r="E287" s="1"/>
    </row>
    <row r="288" spans="5:5">
      <c r="E288" s="1"/>
    </row>
    <row r="289" spans="5:5">
      <c r="E289" s="1"/>
    </row>
    <row r="290" spans="5:5">
      <c r="E290" s="1"/>
    </row>
    <row r="291" spans="5:5">
      <c r="E291" s="1"/>
    </row>
    <row r="292" spans="5:5">
      <c r="E292" s="1"/>
    </row>
    <row r="293" spans="5:5">
      <c r="E293" s="1"/>
    </row>
    <row r="294" spans="5:5">
      <c r="E294" s="1"/>
    </row>
    <row r="295" spans="5:5">
      <c r="E295" s="1"/>
    </row>
    <row r="296" spans="5:5">
      <c r="E296" s="1"/>
    </row>
    <row r="297" spans="5:5">
      <c r="E297" s="1"/>
    </row>
    <row r="298" spans="5:5">
      <c r="E298" s="1"/>
    </row>
    <row r="299" spans="5:5">
      <c r="E299" s="1"/>
    </row>
    <row r="300" spans="5:5">
      <c r="E300" s="1"/>
    </row>
    <row r="301" spans="5:5">
      <c r="E301" s="1"/>
    </row>
    <row r="302" spans="5:5">
      <c r="E302" s="1"/>
    </row>
    <row r="303" spans="5:5">
      <c r="E303" s="1"/>
    </row>
    <row r="304" spans="5:5">
      <c r="E304" s="1"/>
    </row>
    <row r="305" spans="5:5">
      <c r="E305" s="1"/>
    </row>
    <row r="306" spans="5:5">
      <c r="E306" s="1"/>
    </row>
    <row r="307" spans="5:5">
      <c r="E307" s="1"/>
    </row>
    <row r="308" spans="5:5">
      <c r="E308" s="1"/>
    </row>
    <row r="309" spans="5:5">
      <c r="E309" s="1"/>
    </row>
    <row r="310" spans="5:5">
      <c r="E310" s="1"/>
    </row>
    <row r="311" spans="5:5">
      <c r="E311" s="1"/>
    </row>
    <row r="312" spans="5:5">
      <c r="E312" s="1"/>
    </row>
    <row r="313" spans="5:5">
      <c r="E313" s="1"/>
    </row>
    <row r="314" spans="5:5">
      <c r="E314" s="1"/>
    </row>
    <row r="315" spans="5:5">
      <c r="E315" s="1"/>
    </row>
    <row r="316" spans="5:5">
      <c r="E316" s="1"/>
    </row>
    <row r="317" spans="5:5">
      <c r="E317" s="1"/>
    </row>
    <row r="318" spans="5:5">
      <c r="E318" s="1"/>
    </row>
    <row r="319" spans="5:5">
      <c r="E319" s="1"/>
    </row>
    <row r="320" spans="5:5">
      <c r="E320" s="1"/>
    </row>
    <row r="321" spans="5:5">
      <c r="E321" s="1"/>
    </row>
    <row r="322" spans="5:5">
      <c r="E322" s="1"/>
    </row>
    <row r="323" spans="5:5">
      <c r="E323" s="1"/>
    </row>
    <row r="324" spans="5:5">
      <c r="E324" s="1"/>
    </row>
    <row r="325" spans="5:5">
      <c r="E325" s="1"/>
    </row>
    <row r="326" spans="5:5">
      <c r="E326" s="1"/>
    </row>
    <row r="327" spans="5:5">
      <c r="E327" s="1"/>
    </row>
    <row r="328" spans="5:5">
      <c r="E328" s="1"/>
    </row>
    <row r="329" spans="5:5">
      <c r="E329" s="1"/>
    </row>
    <row r="330" spans="5:5">
      <c r="E330" s="1"/>
    </row>
    <row r="331" spans="5:5">
      <c r="E331" s="1"/>
    </row>
    <row r="332" spans="5:5">
      <c r="E332" s="1"/>
    </row>
    <row r="333" spans="5:5">
      <c r="E333" s="1"/>
    </row>
    <row r="334" spans="5:5">
      <c r="E334" s="1"/>
    </row>
    <row r="335" spans="5:5">
      <c r="E335" s="1"/>
    </row>
    <row r="336" spans="5:5">
      <c r="E336" s="1"/>
    </row>
    <row r="337" spans="5:5">
      <c r="E337" s="1"/>
    </row>
    <row r="338" spans="5:5">
      <c r="E338" s="1"/>
    </row>
    <row r="339" spans="5:5">
      <c r="E339" s="1"/>
    </row>
    <row r="340" spans="5:5">
      <c r="E340" s="1"/>
    </row>
    <row r="341" spans="5:5">
      <c r="E341" s="1"/>
    </row>
    <row r="342" spans="5:5">
      <c r="E342" s="1"/>
    </row>
    <row r="343" spans="5:5">
      <c r="E343" s="1"/>
    </row>
    <row r="344" spans="5:5">
      <c r="E344" s="1"/>
    </row>
    <row r="345" spans="5:5">
      <c r="E345" s="1"/>
    </row>
    <row r="346" spans="5:5">
      <c r="E346" s="1"/>
    </row>
    <row r="347" spans="5:5">
      <c r="E347" s="1"/>
    </row>
    <row r="348" spans="5:5">
      <c r="E348" s="1"/>
    </row>
    <row r="349" spans="5:5">
      <c r="E349" s="1"/>
    </row>
    <row r="350" spans="5:5">
      <c r="E350" s="1"/>
    </row>
    <row r="351" spans="5:5">
      <c r="E351" s="1"/>
    </row>
    <row r="352" spans="5:5">
      <c r="E352" s="1"/>
    </row>
    <row r="353" spans="5:5">
      <c r="E353" s="1"/>
    </row>
    <row r="354" spans="5:5">
      <c r="E354" s="1"/>
    </row>
    <row r="355" spans="5:5">
      <c r="E355" s="1"/>
    </row>
    <row r="356" spans="5:5">
      <c r="E356" s="1"/>
    </row>
    <row r="357" spans="5:5">
      <c r="E357" s="1"/>
    </row>
    <row r="358" spans="5:5">
      <c r="E358" s="1"/>
    </row>
    <row r="359" spans="5:5">
      <c r="E359" s="1"/>
    </row>
    <row r="360" spans="5:5">
      <c r="E360" s="1"/>
    </row>
    <row r="361" spans="5:5">
      <c r="E361" s="1"/>
    </row>
    <row r="362" spans="5:5">
      <c r="E362" s="1"/>
    </row>
    <row r="363" spans="5:5">
      <c r="E363" s="1"/>
    </row>
    <row r="364" spans="5:5">
      <c r="E364" s="1"/>
    </row>
    <row r="365" spans="5:5">
      <c r="E365" s="1"/>
    </row>
    <row r="366" spans="5:5">
      <c r="E366" s="1"/>
    </row>
    <row r="367" spans="5:5">
      <c r="E367" s="1"/>
    </row>
    <row r="368" spans="5:5">
      <c r="E368" s="1"/>
    </row>
    <row r="369" spans="5:5">
      <c r="E369" s="1"/>
    </row>
    <row r="370" spans="5:5">
      <c r="E370" s="1"/>
    </row>
    <row r="371" spans="5:5">
      <c r="E371" s="1"/>
    </row>
    <row r="372" spans="5:5">
      <c r="E372" s="1"/>
    </row>
    <row r="373" spans="5:5">
      <c r="E373" s="1"/>
    </row>
    <row r="374" spans="5:5">
      <c r="E374" s="1"/>
    </row>
    <row r="375" spans="5:5">
      <c r="E375" s="1"/>
    </row>
    <row r="376" spans="5:5">
      <c r="E376" s="1"/>
    </row>
    <row r="377" spans="5:5">
      <c r="E377" s="1"/>
    </row>
    <row r="378" spans="5:5">
      <c r="E378" s="1"/>
    </row>
    <row r="379" spans="5:5">
      <c r="E379" s="1"/>
    </row>
    <row r="380" spans="5:5">
      <c r="E380" s="1"/>
    </row>
    <row r="381" spans="5:5">
      <c r="E381" s="1"/>
    </row>
    <row r="382" spans="5:5">
      <c r="E382" s="1"/>
    </row>
    <row r="383" spans="5:5">
      <c r="E383" s="1"/>
    </row>
    <row r="384" spans="5:5">
      <c r="E384" s="1"/>
    </row>
    <row r="385" spans="5:5">
      <c r="E385" s="1"/>
    </row>
    <row r="386" spans="5:5">
      <c r="E386" s="1"/>
    </row>
    <row r="387" spans="5:5">
      <c r="E387" s="1"/>
    </row>
    <row r="388" spans="5:5">
      <c r="E388" s="1"/>
    </row>
    <row r="389" spans="5:5">
      <c r="E389" s="1"/>
    </row>
    <row r="390" spans="5:5">
      <c r="E390" s="1"/>
    </row>
    <row r="391" spans="5:5">
      <c r="E391" s="1"/>
    </row>
    <row r="392" spans="5:5">
      <c r="E392" s="1"/>
    </row>
    <row r="393" spans="5:5">
      <c r="E393" s="1"/>
    </row>
    <row r="394" spans="5:5">
      <c r="E394" s="1"/>
    </row>
    <row r="395" spans="5:5">
      <c r="E395" s="1"/>
    </row>
    <row r="396" spans="5:5">
      <c r="E396" s="1"/>
    </row>
    <row r="397" spans="5:5">
      <c r="E397" s="1"/>
    </row>
    <row r="398" spans="5:5">
      <c r="E398" s="1"/>
    </row>
    <row r="399" spans="5:5">
      <c r="E399" s="1"/>
    </row>
    <row r="400" spans="5:5">
      <c r="E400" s="1"/>
    </row>
    <row r="401" spans="5:5">
      <c r="E401" s="1"/>
    </row>
    <row r="402" spans="5:5">
      <c r="E402" s="1"/>
    </row>
    <row r="403" spans="5:5">
      <c r="E403" s="1"/>
    </row>
    <row r="404" spans="5:5">
      <c r="E404" s="1"/>
    </row>
    <row r="405" spans="5:5">
      <c r="E405" s="1"/>
    </row>
    <row r="406" spans="5:5">
      <c r="E406" s="1"/>
    </row>
    <row r="407" spans="5:5">
      <c r="E407" s="1"/>
    </row>
    <row r="408" spans="5:5">
      <c r="E408" s="1"/>
    </row>
    <row r="409" spans="5:5">
      <c r="E409" s="1"/>
    </row>
    <row r="410" spans="5:5">
      <c r="E410" s="1"/>
    </row>
    <row r="411" spans="5:5">
      <c r="E411" s="1"/>
    </row>
    <row r="412" spans="5:5">
      <c r="E412" s="1"/>
    </row>
    <row r="413" spans="5:5">
      <c r="E413" s="1"/>
    </row>
    <row r="414" spans="5:5">
      <c r="E414" s="1"/>
    </row>
    <row r="415" spans="5:5">
      <c r="E415" s="1"/>
    </row>
    <row r="416" spans="5:5">
      <c r="E416" s="1"/>
    </row>
    <row r="417" spans="5:5">
      <c r="E417" s="1"/>
    </row>
    <row r="418" spans="5:5">
      <c r="E418" s="1"/>
    </row>
    <row r="419" spans="5:5">
      <c r="E419" s="1"/>
    </row>
    <row r="420" spans="5:5">
      <c r="E420" s="1"/>
    </row>
    <row r="421" spans="5:5">
      <c r="E421" s="1"/>
    </row>
    <row r="422" spans="5:5">
      <c r="E422" s="1"/>
    </row>
    <row r="423" spans="5:5">
      <c r="E423" s="1"/>
    </row>
    <row r="424" spans="5:5">
      <c r="E424" s="1"/>
    </row>
    <row r="425" spans="5:5">
      <c r="E425" s="1"/>
    </row>
    <row r="426" spans="5:5">
      <c r="E426" s="1"/>
    </row>
    <row r="427" spans="5:5">
      <c r="E427" s="1"/>
    </row>
    <row r="428" spans="5:5">
      <c r="E428" s="1"/>
    </row>
    <row r="429" spans="5:5">
      <c r="E429" s="1"/>
    </row>
    <row r="430" spans="5:5">
      <c r="E430" s="1"/>
    </row>
    <row r="431" spans="5:5">
      <c r="E431" s="1"/>
    </row>
    <row r="432" spans="5:5">
      <c r="E432" s="1"/>
    </row>
    <row r="433" spans="5:5">
      <c r="E433" s="1"/>
    </row>
    <row r="434" spans="5:5">
      <c r="E434" s="1"/>
    </row>
    <row r="435" spans="5:5">
      <c r="E435" s="1"/>
    </row>
    <row r="436" spans="5:5">
      <c r="E436" s="1"/>
    </row>
    <row r="437" spans="5:5">
      <c r="E437" s="1"/>
    </row>
    <row r="438" spans="5:5">
      <c r="E438" s="1"/>
    </row>
    <row r="439" spans="5:5">
      <c r="E439" s="1"/>
    </row>
    <row r="440" spans="5:5">
      <c r="E440" s="1"/>
    </row>
    <row r="441" spans="5:5">
      <c r="E441" s="1"/>
    </row>
    <row r="442" spans="5:5">
      <c r="E442" s="1"/>
    </row>
    <row r="443" spans="5:5">
      <c r="E443" s="1"/>
    </row>
    <row r="444" spans="5:5">
      <c r="E444" s="1"/>
    </row>
    <row r="445" spans="5:5">
      <c r="E445" s="1"/>
    </row>
    <row r="446" spans="5:5">
      <c r="E446" s="1"/>
    </row>
    <row r="447" spans="5:5">
      <c r="E447" s="1"/>
    </row>
    <row r="448" spans="5:5">
      <c r="E448" s="1"/>
    </row>
    <row r="449" spans="5:5">
      <c r="E449" s="1"/>
    </row>
    <row r="450" spans="5:5">
      <c r="E450" s="1"/>
    </row>
    <row r="451" spans="5:5">
      <c r="E451" s="1"/>
    </row>
    <row r="452" spans="5:5">
      <c r="E452" s="1"/>
    </row>
    <row r="453" spans="5:5">
      <c r="E453" s="1"/>
    </row>
    <row r="454" spans="5:5">
      <c r="E454" s="1"/>
    </row>
    <row r="455" spans="5:5">
      <c r="E455" s="1"/>
    </row>
    <row r="456" spans="5:5">
      <c r="E456" s="1"/>
    </row>
    <row r="457" spans="5:5">
      <c r="E457" s="1"/>
    </row>
    <row r="458" spans="5:5">
      <c r="E458" s="1"/>
    </row>
    <row r="459" spans="5:5">
      <c r="E459" s="1"/>
    </row>
    <row r="460" spans="5:5">
      <c r="E460" s="1"/>
    </row>
    <row r="461" spans="5:5">
      <c r="E461" s="1"/>
    </row>
    <row r="462" spans="5:5">
      <c r="E462" s="1"/>
    </row>
    <row r="463" spans="5:5">
      <c r="E463" s="1"/>
    </row>
    <row r="464" spans="5:5">
      <c r="E464" s="1"/>
    </row>
    <row r="465" spans="5:5">
      <c r="E465" s="1"/>
    </row>
    <row r="466" spans="5:5">
      <c r="E466" s="1"/>
    </row>
    <row r="467" spans="5:5">
      <c r="E467" s="1"/>
    </row>
    <row r="468" spans="5:5">
      <c r="E468" s="1"/>
    </row>
    <row r="469" spans="5:5">
      <c r="E469" s="1"/>
    </row>
    <row r="470" spans="5:5">
      <c r="E470" s="1"/>
    </row>
    <row r="471" spans="5:5">
      <c r="E471" s="1"/>
    </row>
    <row r="472" spans="5:5">
      <c r="E472" s="1"/>
    </row>
    <row r="473" spans="5:5">
      <c r="E473" s="1"/>
    </row>
    <row r="474" spans="5:5">
      <c r="E474" s="1"/>
    </row>
    <row r="475" spans="5:5">
      <c r="E475" s="1"/>
    </row>
    <row r="476" spans="5:5">
      <c r="E476" s="1"/>
    </row>
    <row r="477" spans="5:5">
      <c r="E477" s="1"/>
    </row>
    <row r="478" spans="5:5">
      <c r="E478" s="1"/>
    </row>
    <row r="479" spans="5:5">
      <c r="E479" s="1"/>
    </row>
    <row r="480" spans="5:5">
      <c r="E480" s="1"/>
    </row>
    <row r="481" spans="5:5">
      <c r="E481" s="1"/>
    </row>
    <row r="482" spans="5:5">
      <c r="E482" s="1"/>
    </row>
    <row r="483" spans="5:5">
      <c r="E483" s="1"/>
    </row>
    <row r="484" spans="5:5">
      <c r="E484" s="1"/>
    </row>
    <row r="485" spans="5:5">
      <c r="E485" s="1"/>
    </row>
    <row r="486" spans="5:5">
      <c r="E486" s="1"/>
    </row>
    <row r="487" spans="5:5">
      <c r="E487" s="1"/>
    </row>
    <row r="488" spans="5:5">
      <c r="E488" s="1"/>
    </row>
    <row r="489" spans="5:5">
      <c r="E489" s="1"/>
    </row>
    <row r="490" spans="5:5">
      <c r="E490" s="1"/>
    </row>
    <row r="491" spans="5:5">
      <c r="E491" s="1"/>
    </row>
    <row r="492" spans="5:5">
      <c r="E492" s="1"/>
    </row>
    <row r="493" spans="5:5">
      <c r="E493" s="1"/>
    </row>
    <row r="494" spans="5:5">
      <c r="E494" s="1"/>
    </row>
    <row r="495" spans="5:5">
      <c r="E495" s="1"/>
    </row>
    <row r="496" spans="5:5">
      <c r="E496" s="1"/>
    </row>
    <row r="497" spans="4:5">
      <c r="E497" s="1"/>
    </row>
    <row r="498" spans="4:5">
      <c r="E498" s="1"/>
    </row>
    <row r="499" spans="4:5">
      <c r="E499" s="1"/>
    </row>
    <row r="500" spans="4:5">
      <c r="E500" s="1"/>
    </row>
    <row r="501" spans="4:5">
      <c r="E501" s="1"/>
    </row>
    <row r="502" spans="4:5">
      <c r="E502" s="1"/>
    </row>
    <row r="503" spans="4:5">
      <c r="E503" s="1"/>
    </row>
    <row r="504" spans="4:5">
      <c r="E504" s="1"/>
    </row>
    <row r="505" spans="4:5">
      <c r="E505" s="1"/>
    </row>
    <row r="506" spans="4:5">
      <c r="E506" s="1"/>
    </row>
    <row r="507" spans="4:5">
      <c r="E507" s="1"/>
    </row>
    <row r="508" spans="4:5">
      <c r="E508" s="1"/>
    </row>
    <row r="509" spans="4:5">
      <c r="E509" s="1"/>
    </row>
    <row r="510" spans="4:5">
      <c r="E510" s="1"/>
    </row>
    <row r="511" spans="4:5">
      <c r="D511"/>
    </row>
    <row r="512" spans="4:5">
      <c r="D512"/>
    </row>
    <row r="513" spans="4:4">
      <c r="D513"/>
    </row>
    <row r="514" spans="4:4">
      <c r="D514"/>
    </row>
    <row r="515" spans="4:4">
      <c r="D515"/>
    </row>
    <row r="516" spans="4:4">
      <c r="D516"/>
    </row>
    <row r="517" spans="4:4">
      <c r="D517"/>
    </row>
    <row r="518" spans="4:4">
      <c r="D518"/>
    </row>
    <row r="519" spans="4:4">
      <c r="D519"/>
    </row>
    <row r="520" spans="4:4">
      <c r="D520"/>
    </row>
    <row r="521" spans="4:4">
      <c r="D521"/>
    </row>
    <row r="522" spans="4:4">
      <c r="D522"/>
    </row>
    <row r="523" spans="4:4">
      <c r="D523"/>
    </row>
    <row r="524" spans="4:4">
      <c r="D524"/>
    </row>
    <row r="525" spans="4:4">
      <c r="D525"/>
    </row>
    <row r="526" spans="4:4">
      <c r="D526"/>
    </row>
    <row r="527" spans="4:4">
      <c r="D527"/>
    </row>
    <row r="528" spans="4:4">
      <c r="D528"/>
    </row>
    <row r="529" spans="4:4">
      <c r="D529"/>
    </row>
    <row r="530" spans="4:4">
      <c r="D530"/>
    </row>
    <row r="531" spans="4:4">
      <c r="D531"/>
    </row>
    <row r="532" spans="4:4">
      <c r="D532"/>
    </row>
    <row r="533" spans="4:4">
      <c r="D533"/>
    </row>
    <row r="534" spans="4:4">
      <c r="D534"/>
    </row>
    <row r="535" spans="4:4">
      <c r="D535"/>
    </row>
    <row r="536" spans="4:4">
      <c r="D536"/>
    </row>
    <row r="537" spans="4:4">
      <c r="D537"/>
    </row>
    <row r="538" spans="4:4">
      <c r="D538"/>
    </row>
    <row r="539" spans="4:4">
      <c r="D539"/>
    </row>
    <row r="540" spans="4:4">
      <c r="D540"/>
    </row>
    <row r="541" spans="4:4">
      <c r="D541"/>
    </row>
    <row r="542" spans="4:4">
      <c r="D542"/>
    </row>
    <row r="543" spans="4:4">
      <c r="D543"/>
    </row>
    <row r="544" spans="4:4">
      <c r="D544"/>
    </row>
    <row r="545" spans="4:4">
      <c r="D545"/>
    </row>
    <row r="546" spans="4:4">
      <c r="D546"/>
    </row>
    <row r="547" spans="4:4">
      <c r="D547"/>
    </row>
    <row r="548" spans="4:4">
      <c r="D548"/>
    </row>
    <row r="549" spans="4:4">
      <c r="D549"/>
    </row>
    <row r="550" spans="4:4">
      <c r="D550"/>
    </row>
    <row r="551" spans="4:4">
      <c r="D551"/>
    </row>
    <row r="552" spans="4:4">
      <c r="D552"/>
    </row>
    <row r="553" spans="4:4">
      <c r="D553"/>
    </row>
    <row r="554" spans="4:4">
      <c r="D554"/>
    </row>
    <row r="555" spans="4:4">
      <c r="D555"/>
    </row>
    <row r="556" spans="4:4">
      <c r="D556"/>
    </row>
    <row r="557" spans="4:4">
      <c r="D557"/>
    </row>
    <row r="558" spans="4:4">
      <c r="D558"/>
    </row>
    <row r="559" spans="4:4">
      <c r="D559"/>
    </row>
    <row r="560" spans="4:4">
      <c r="D560"/>
    </row>
    <row r="561" spans="4:4">
      <c r="D561"/>
    </row>
    <row r="562" spans="4:4">
      <c r="D562"/>
    </row>
    <row r="563" spans="4:4">
      <c r="D563"/>
    </row>
    <row r="564" spans="4:4">
      <c r="D564"/>
    </row>
    <row r="565" spans="4:4">
      <c r="D565"/>
    </row>
    <row r="566" spans="4:4">
      <c r="D566"/>
    </row>
    <row r="567" spans="4:4">
      <c r="D567"/>
    </row>
    <row r="568" spans="4:4">
      <c r="D568"/>
    </row>
    <row r="569" spans="4:4">
      <c r="D569"/>
    </row>
    <row r="570" spans="4:4">
      <c r="D570"/>
    </row>
    <row r="571" spans="4:4">
      <c r="D571"/>
    </row>
    <row r="572" spans="4:4">
      <c r="D572"/>
    </row>
    <row r="573" spans="4:4">
      <c r="D573"/>
    </row>
    <row r="574" spans="4:4">
      <c r="D574"/>
    </row>
    <row r="575" spans="4:4">
      <c r="D575"/>
    </row>
    <row r="576" spans="4:4">
      <c r="D576"/>
    </row>
    <row r="577" spans="4:4">
      <c r="D577"/>
    </row>
    <row r="578" spans="4:4">
      <c r="D578"/>
    </row>
    <row r="579" spans="4:4">
      <c r="D579"/>
    </row>
    <row r="580" spans="4:4">
      <c r="D580"/>
    </row>
    <row r="581" spans="4:4">
      <c r="D581"/>
    </row>
    <row r="582" spans="4:4">
      <c r="D582"/>
    </row>
    <row r="583" spans="4:4">
      <c r="D583"/>
    </row>
    <row r="584" spans="4:4">
      <c r="D584"/>
    </row>
    <row r="585" spans="4:4">
      <c r="D585"/>
    </row>
    <row r="586" spans="4:4">
      <c r="D586"/>
    </row>
    <row r="587" spans="4:4">
      <c r="D587"/>
    </row>
    <row r="588" spans="4:4">
      <c r="D588"/>
    </row>
    <row r="589" spans="4:4">
      <c r="D589"/>
    </row>
    <row r="590" spans="4:4">
      <c r="D590"/>
    </row>
    <row r="591" spans="4:4">
      <c r="D591"/>
    </row>
    <row r="592" spans="4:4">
      <c r="D592"/>
    </row>
    <row r="593" spans="4:4">
      <c r="D593"/>
    </row>
    <row r="594" spans="4:4">
      <c r="D594"/>
    </row>
    <row r="595" spans="4:4">
      <c r="D595"/>
    </row>
    <row r="596" spans="4:4">
      <c r="D596"/>
    </row>
    <row r="597" spans="4:4">
      <c r="D597"/>
    </row>
    <row r="598" spans="4:4">
      <c r="D598"/>
    </row>
    <row r="599" spans="4:4">
      <c r="D599"/>
    </row>
    <row r="600" spans="4:4">
      <c r="D600"/>
    </row>
    <row r="601" spans="4:4">
      <c r="D601"/>
    </row>
    <row r="602" spans="4:4">
      <c r="D602"/>
    </row>
    <row r="603" spans="4:4">
      <c r="D603"/>
    </row>
    <row r="604" spans="4:4">
      <c r="D604"/>
    </row>
    <row r="605" spans="4:4">
      <c r="D605"/>
    </row>
    <row r="606" spans="4:4">
      <c r="D606"/>
    </row>
    <row r="607" spans="4:4">
      <c r="D607"/>
    </row>
    <row r="608" spans="4:4">
      <c r="D608"/>
    </row>
    <row r="609" spans="4:4">
      <c r="D609"/>
    </row>
    <row r="610" spans="4:4">
      <c r="D610"/>
    </row>
    <row r="611" spans="4:4">
      <c r="D611"/>
    </row>
    <row r="612" spans="4:4">
      <c r="D612"/>
    </row>
    <row r="613" spans="4:4">
      <c r="D613"/>
    </row>
    <row r="614" spans="4:4">
      <c r="D614"/>
    </row>
    <row r="615" spans="4:4">
      <c r="D615"/>
    </row>
    <row r="616" spans="4:4">
      <c r="D616"/>
    </row>
    <row r="617" spans="4:4">
      <c r="D617"/>
    </row>
    <row r="618" spans="4:4">
      <c r="D618"/>
    </row>
    <row r="619" spans="4:4">
      <c r="D619"/>
    </row>
    <row r="620" spans="4:4">
      <c r="D620"/>
    </row>
    <row r="621" spans="4:4">
      <c r="D621"/>
    </row>
    <row r="622" spans="4:4">
      <c r="D622"/>
    </row>
    <row r="623" spans="4:4">
      <c r="D623"/>
    </row>
    <row r="624" spans="4:4">
      <c r="D624"/>
    </row>
    <row r="625" spans="4:4">
      <c r="D625"/>
    </row>
    <row r="626" spans="4:4">
      <c r="D626"/>
    </row>
    <row r="627" spans="4:4">
      <c r="D627"/>
    </row>
    <row r="628" spans="4:4">
      <c r="D628"/>
    </row>
    <row r="629" spans="4:4">
      <c r="D629"/>
    </row>
    <row r="630" spans="4:4">
      <c r="D630"/>
    </row>
    <row r="631" spans="4:4">
      <c r="D631"/>
    </row>
    <row r="632" spans="4:4">
      <c r="D632"/>
    </row>
    <row r="633" spans="4:4">
      <c r="D633"/>
    </row>
    <row r="634" spans="4:4">
      <c r="D634"/>
    </row>
    <row r="635" spans="4:4">
      <c r="D635"/>
    </row>
    <row r="636" spans="4:4">
      <c r="D636"/>
    </row>
    <row r="637" spans="4:4">
      <c r="D637"/>
    </row>
    <row r="638" spans="4:4">
      <c r="D638"/>
    </row>
    <row r="639" spans="4:4">
      <c r="D639"/>
    </row>
    <row r="640" spans="4:4">
      <c r="D640"/>
    </row>
    <row r="641" spans="4:4">
      <c r="D641"/>
    </row>
    <row r="642" spans="4:4">
      <c r="D642"/>
    </row>
    <row r="643" spans="4:4">
      <c r="D643"/>
    </row>
    <row r="644" spans="4:4">
      <c r="D644"/>
    </row>
    <row r="645" spans="4:4">
      <c r="D645"/>
    </row>
    <row r="646" spans="4:4">
      <c r="D646"/>
    </row>
    <row r="647" spans="4:4">
      <c r="D647"/>
    </row>
    <row r="648" spans="4:4">
      <c r="D648"/>
    </row>
    <row r="649" spans="4:4">
      <c r="D649"/>
    </row>
    <row r="650" spans="4:4">
      <c r="D650"/>
    </row>
    <row r="651" spans="4:4">
      <c r="D651"/>
    </row>
    <row r="652" spans="4:4">
      <c r="D652"/>
    </row>
    <row r="653" spans="4:4">
      <c r="D653"/>
    </row>
    <row r="654" spans="4:4">
      <c r="D654"/>
    </row>
    <row r="655" spans="4:4">
      <c r="D655"/>
    </row>
    <row r="656" spans="4:4">
      <c r="D656"/>
    </row>
    <row r="657" spans="4:4">
      <c r="D657"/>
    </row>
    <row r="658" spans="4:4">
      <c r="D658"/>
    </row>
    <row r="659" spans="4:4">
      <c r="D659"/>
    </row>
    <row r="660" spans="4:4">
      <c r="D660"/>
    </row>
    <row r="661" spans="4:4">
      <c r="D661"/>
    </row>
    <row r="662" spans="4:4">
      <c r="D662"/>
    </row>
    <row r="663" spans="4:4">
      <c r="D663"/>
    </row>
    <row r="664" spans="4:4">
      <c r="D664"/>
    </row>
    <row r="665" spans="4:4">
      <c r="D665"/>
    </row>
    <row r="666" spans="4:4">
      <c r="D666"/>
    </row>
    <row r="667" spans="4:4">
      <c r="D667"/>
    </row>
    <row r="668" spans="4:4">
      <c r="D668"/>
    </row>
    <row r="669" spans="4:4">
      <c r="D669"/>
    </row>
    <row r="670" spans="4:4">
      <c r="D670"/>
    </row>
    <row r="671" spans="4:4">
      <c r="D671"/>
    </row>
    <row r="672" spans="4:4">
      <c r="D672"/>
    </row>
    <row r="673" spans="4:4">
      <c r="D673"/>
    </row>
    <row r="674" spans="4:4">
      <c r="D674"/>
    </row>
    <row r="675" spans="4:4">
      <c r="D675"/>
    </row>
    <row r="676" spans="4:4">
      <c r="D676"/>
    </row>
    <row r="677" spans="4:4">
      <c r="D677"/>
    </row>
    <row r="678" spans="4:4">
      <c r="D678"/>
    </row>
    <row r="679" spans="4:4">
      <c r="D679"/>
    </row>
    <row r="680" spans="4:4">
      <c r="D680"/>
    </row>
    <row r="681" spans="4:4">
      <c r="D681"/>
    </row>
    <row r="682" spans="4:4">
      <c r="D682"/>
    </row>
    <row r="683" spans="4:4">
      <c r="D683"/>
    </row>
    <row r="684" spans="4:4">
      <c r="D684"/>
    </row>
    <row r="685" spans="4:4">
      <c r="D685"/>
    </row>
    <row r="686" spans="4:4">
      <c r="D686"/>
    </row>
    <row r="687" spans="4:4">
      <c r="D687"/>
    </row>
    <row r="688" spans="4:4">
      <c r="D688"/>
    </row>
    <row r="689" spans="4:4">
      <c r="D689"/>
    </row>
    <row r="690" spans="4:4">
      <c r="D690"/>
    </row>
    <row r="691" spans="4:4">
      <c r="D691"/>
    </row>
    <row r="692" spans="4:4">
      <c r="D692"/>
    </row>
    <row r="693" spans="4:4">
      <c r="D693"/>
    </row>
    <row r="694" spans="4:4">
      <c r="D694"/>
    </row>
    <row r="695" spans="4:4">
      <c r="D695"/>
    </row>
    <row r="696" spans="4:4">
      <c r="D696"/>
    </row>
    <row r="697" spans="4:4">
      <c r="D697"/>
    </row>
    <row r="698" spans="4:4">
      <c r="D698"/>
    </row>
    <row r="699" spans="4:4">
      <c r="D699"/>
    </row>
    <row r="700" spans="4:4">
      <c r="D700"/>
    </row>
    <row r="701" spans="4:4">
      <c r="D701"/>
    </row>
    <row r="702" spans="4:4">
      <c r="D702"/>
    </row>
    <row r="703" spans="4:4">
      <c r="D703"/>
    </row>
    <row r="704" spans="4:4">
      <c r="D704"/>
    </row>
    <row r="705" spans="4:4">
      <c r="D705"/>
    </row>
    <row r="706" spans="4:4">
      <c r="D706"/>
    </row>
    <row r="707" spans="4:4">
      <c r="D707"/>
    </row>
    <row r="708" spans="4:4">
      <c r="D708"/>
    </row>
    <row r="709" spans="4:4">
      <c r="D709"/>
    </row>
    <row r="710" spans="4:4">
      <c r="D710"/>
    </row>
    <row r="711" spans="4:4">
      <c r="D711"/>
    </row>
    <row r="712" spans="4:4">
      <c r="D712"/>
    </row>
    <row r="713" spans="4:4">
      <c r="D713"/>
    </row>
    <row r="714" spans="4:4">
      <c r="D714"/>
    </row>
    <row r="715" spans="4:4">
      <c r="D715"/>
    </row>
    <row r="716" spans="4:4">
      <c r="D716"/>
    </row>
    <row r="717" spans="4:4">
      <c r="D717"/>
    </row>
    <row r="718" spans="4:4">
      <c r="D718"/>
    </row>
    <row r="719" spans="4:4">
      <c r="D719"/>
    </row>
    <row r="720" spans="4:4">
      <c r="D720"/>
    </row>
    <row r="721" spans="4:4">
      <c r="D721"/>
    </row>
    <row r="722" spans="4:4">
      <c r="D722"/>
    </row>
    <row r="723" spans="4:4">
      <c r="D723"/>
    </row>
    <row r="724" spans="4:4">
      <c r="D724"/>
    </row>
    <row r="725" spans="4:4">
      <c r="D725"/>
    </row>
    <row r="726" spans="4:4">
      <c r="D726"/>
    </row>
    <row r="727" spans="4:4">
      <c r="D727"/>
    </row>
    <row r="728" spans="4:4">
      <c r="D728"/>
    </row>
    <row r="729" spans="4:4">
      <c r="D729"/>
    </row>
    <row r="730" spans="4:4">
      <c r="D730"/>
    </row>
    <row r="731" spans="4:4">
      <c r="D731"/>
    </row>
    <row r="732" spans="4:4">
      <c r="D732"/>
    </row>
    <row r="733" spans="4:4">
      <c r="D733"/>
    </row>
    <row r="734" spans="4:4">
      <c r="D734"/>
    </row>
    <row r="735" spans="4:4">
      <c r="D735"/>
    </row>
    <row r="736" spans="4:4">
      <c r="D736"/>
    </row>
    <row r="737" spans="4:4">
      <c r="D737"/>
    </row>
    <row r="738" spans="4:4">
      <c r="D738"/>
    </row>
    <row r="739" spans="4:4">
      <c r="D739"/>
    </row>
    <row r="740" spans="4:4">
      <c r="D740"/>
    </row>
    <row r="741" spans="4:4">
      <c r="D741"/>
    </row>
    <row r="742" spans="4:4">
      <c r="D742"/>
    </row>
    <row r="743" spans="4:4">
      <c r="D743"/>
    </row>
    <row r="744" spans="4:4">
      <c r="D744"/>
    </row>
    <row r="745" spans="4:4">
      <c r="D745"/>
    </row>
    <row r="746" spans="4:4">
      <c r="D746"/>
    </row>
    <row r="747" spans="4:4">
      <c r="D747"/>
    </row>
    <row r="748" spans="4:4">
      <c r="D748"/>
    </row>
    <row r="749" spans="4:4">
      <c r="D749"/>
    </row>
    <row r="750" spans="4:4">
      <c r="D750"/>
    </row>
    <row r="751" spans="4:4">
      <c r="D751"/>
    </row>
    <row r="752" spans="4:4">
      <c r="D752"/>
    </row>
    <row r="753" spans="4:4">
      <c r="D753"/>
    </row>
    <row r="754" spans="4:4">
      <c r="D754"/>
    </row>
    <row r="755" spans="4:4">
      <c r="D755"/>
    </row>
    <row r="756" spans="4:4">
      <c r="D756"/>
    </row>
    <row r="757" spans="4:4">
      <c r="D757"/>
    </row>
    <row r="758" spans="4:4">
      <c r="D758"/>
    </row>
    <row r="759" spans="4:4">
      <c r="D759"/>
    </row>
    <row r="760" spans="4:4">
      <c r="D760"/>
    </row>
    <row r="761" spans="4:4">
      <c r="D761"/>
    </row>
    <row r="762" spans="4:4">
      <c r="D762"/>
    </row>
    <row r="763" spans="4:4">
      <c r="D763"/>
    </row>
    <row r="764" spans="4:4">
      <c r="D764"/>
    </row>
    <row r="765" spans="4:4">
      <c r="D765"/>
    </row>
    <row r="766" spans="4:4">
      <c r="D766"/>
    </row>
    <row r="767" spans="4:4">
      <c r="D767"/>
    </row>
    <row r="768" spans="4:4">
      <c r="D768"/>
    </row>
    <row r="769" spans="4:4">
      <c r="D769"/>
    </row>
    <row r="770" spans="4:4">
      <c r="D770"/>
    </row>
    <row r="771" spans="4:4">
      <c r="D771"/>
    </row>
    <row r="772" spans="4:4">
      <c r="D772"/>
    </row>
    <row r="773" spans="4:4">
      <c r="D773"/>
    </row>
    <row r="774" spans="4:4">
      <c r="D774"/>
    </row>
    <row r="775" spans="4:4">
      <c r="D775"/>
    </row>
    <row r="776" spans="4:4">
      <c r="D776"/>
    </row>
    <row r="777" spans="4:4">
      <c r="D777"/>
    </row>
    <row r="778" spans="4:4">
      <c r="D778"/>
    </row>
    <row r="779" spans="4:4">
      <c r="D779"/>
    </row>
    <row r="780" spans="4:4">
      <c r="D780"/>
    </row>
    <row r="781" spans="4:4">
      <c r="D781"/>
    </row>
    <row r="782" spans="4:4">
      <c r="D782"/>
    </row>
    <row r="783" spans="4:4">
      <c r="D783"/>
    </row>
    <row r="784" spans="4:4">
      <c r="D784"/>
    </row>
    <row r="785" spans="4:4">
      <c r="D785"/>
    </row>
    <row r="786" spans="4:4">
      <c r="D786"/>
    </row>
    <row r="787" spans="4:4">
      <c r="D787"/>
    </row>
    <row r="788" spans="4:4">
      <c r="D788"/>
    </row>
    <row r="789" spans="4:4">
      <c r="D789"/>
    </row>
    <row r="790" spans="4:4">
      <c r="D790"/>
    </row>
    <row r="791" spans="4:4">
      <c r="D791"/>
    </row>
    <row r="792" spans="4:4">
      <c r="D792"/>
    </row>
    <row r="793" spans="4:4">
      <c r="D793"/>
    </row>
    <row r="794" spans="4:4">
      <c r="D794"/>
    </row>
    <row r="795" spans="4:4">
      <c r="D795"/>
    </row>
    <row r="796" spans="4:4">
      <c r="D796"/>
    </row>
    <row r="797" spans="4:4">
      <c r="D797"/>
    </row>
    <row r="798" spans="4:4">
      <c r="D798"/>
    </row>
    <row r="799" spans="4:4">
      <c r="D799"/>
    </row>
    <row r="800" spans="4:4">
      <c r="D800"/>
    </row>
    <row r="801" spans="4:4">
      <c r="D801"/>
    </row>
    <row r="802" spans="4:4">
      <c r="D802"/>
    </row>
    <row r="803" spans="4:4">
      <c r="D803"/>
    </row>
    <row r="804" spans="4:4">
      <c r="D804"/>
    </row>
    <row r="805" spans="4:4">
      <c r="D805"/>
    </row>
    <row r="806" spans="4:4">
      <c r="D806"/>
    </row>
    <row r="807" spans="4:4">
      <c r="D807"/>
    </row>
    <row r="808" spans="4:4">
      <c r="D808"/>
    </row>
    <row r="809" spans="4:4">
      <c r="D809"/>
    </row>
    <row r="810" spans="4:4">
      <c r="D810"/>
    </row>
    <row r="811" spans="4:4">
      <c r="D811"/>
    </row>
    <row r="812" spans="4:4">
      <c r="D812"/>
    </row>
    <row r="813" spans="4:4">
      <c r="D813"/>
    </row>
    <row r="814" spans="4:4">
      <c r="D814"/>
    </row>
    <row r="815" spans="4:4">
      <c r="D815"/>
    </row>
    <row r="816" spans="4:4">
      <c r="D816"/>
    </row>
    <row r="817" spans="4:4">
      <c r="D817"/>
    </row>
    <row r="818" spans="4:4">
      <c r="D818"/>
    </row>
    <row r="819" spans="4:4">
      <c r="D819"/>
    </row>
    <row r="820" spans="4:4">
      <c r="D820"/>
    </row>
    <row r="821" spans="4:4">
      <c r="D821"/>
    </row>
    <row r="822" spans="4:4">
      <c r="D822"/>
    </row>
    <row r="823" spans="4:4">
      <c r="D823"/>
    </row>
    <row r="824" spans="4:4">
      <c r="D824"/>
    </row>
    <row r="825" spans="4:4">
      <c r="D825"/>
    </row>
    <row r="826" spans="4:4">
      <c r="D826"/>
    </row>
    <row r="827" spans="4:4">
      <c r="D827"/>
    </row>
    <row r="828" spans="4:4">
      <c r="D828"/>
    </row>
    <row r="829" spans="4:4">
      <c r="D829"/>
    </row>
    <row r="830" spans="4:4">
      <c r="D830"/>
    </row>
    <row r="831" spans="4:4">
      <c r="D831"/>
    </row>
    <row r="832" spans="4:4">
      <c r="D832"/>
    </row>
    <row r="833" spans="4:4">
      <c r="D833"/>
    </row>
    <row r="834" spans="4:4">
      <c r="D834"/>
    </row>
    <row r="835" spans="4:4">
      <c r="D835"/>
    </row>
    <row r="836" spans="4:4">
      <c r="D836"/>
    </row>
    <row r="837" spans="4:4">
      <c r="D837"/>
    </row>
    <row r="838" spans="4:4">
      <c r="D838"/>
    </row>
    <row r="839" spans="4:4">
      <c r="D839"/>
    </row>
    <row r="840" spans="4:4">
      <c r="D840"/>
    </row>
    <row r="841" spans="4:4">
      <c r="D841"/>
    </row>
    <row r="842" spans="4:4">
      <c r="D842"/>
    </row>
    <row r="843" spans="4:4">
      <c r="D843"/>
    </row>
    <row r="844" spans="4:4">
      <c r="D844"/>
    </row>
    <row r="845" spans="4:4">
      <c r="D845"/>
    </row>
    <row r="846" spans="4:4">
      <c r="D846"/>
    </row>
    <row r="847" spans="4:4">
      <c r="D847"/>
    </row>
    <row r="848" spans="4:4">
      <c r="D848"/>
    </row>
    <row r="849" spans="4:4">
      <c r="D849"/>
    </row>
    <row r="850" spans="4:4">
      <c r="D850"/>
    </row>
    <row r="851" spans="4:4">
      <c r="D851"/>
    </row>
    <row r="852" spans="4:4">
      <c r="D852"/>
    </row>
    <row r="853" spans="4:4">
      <c r="D853"/>
    </row>
    <row r="854" spans="4:4">
      <c r="D854"/>
    </row>
    <row r="855" spans="4:4">
      <c r="D855"/>
    </row>
    <row r="856" spans="4:4">
      <c r="D856"/>
    </row>
    <row r="857" spans="4:4">
      <c r="D857"/>
    </row>
    <row r="858" spans="4:4">
      <c r="D858"/>
    </row>
    <row r="859" spans="4:4">
      <c r="D859"/>
    </row>
    <row r="860" spans="4:4">
      <c r="D860"/>
    </row>
    <row r="861" spans="4:4">
      <c r="D861"/>
    </row>
    <row r="862" spans="4:4">
      <c r="D862"/>
    </row>
    <row r="863" spans="4:4">
      <c r="D863"/>
    </row>
    <row r="864" spans="4:4">
      <c r="D864"/>
    </row>
    <row r="865" spans="4:4">
      <c r="D865"/>
    </row>
    <row r="866" spans="4:4">
      <c r="D866"/>
    </row>
    <row r="867" spans="4:4">
      <c r="D867"/>
    </row>
    <row r="868" spans="4:4">
      <c r="D868"/>
    </row>
    <row r="869" spans="4:4">
      <c r="D869"/>
    </row>
    <row r="870" spans="4:4">
      <c r="D870"/>
    </row>
    <row r="871" spans="4:4">
      <c r="D871"/>
    </row>
    <row r="872" spans="4:4">
      <c r="D872"/>
    </row>
    <row r="873" spans="4:4">
      <c r="D873"/>
    </row>
    <row r="874" spans="4:4">
      <c r="D874"/>
    </row>
    <row r="875" spans="4:4">
      <c r="D875"/>
    </row>
    <row r="876" spans="4:4">
      <c r="D876"/>
    </row>
    <row r="877" spans="4:4">
      <c r="D877"/>
    </row>
    <row r="878" spans="4:4">
      <c r="D878"/>
    </row>
    <row r="879" spans="4:4">
      <c r="D879"/>
    </row>
    <row r="880" spans="4:4">
      <c r="D880"/>
    </row>
    <row r="881" spans="4:4">
      <c r="D881"/>
    </row>
    <row r="882" spans="4:4">
      <c r="D882"/>
    </row>
    <row r="883" spans="4:4">
      <c r="D883"/>
    </row>
    <row r="884" spans="4:4">
      <c r="D884"/>
    </row>
    <row r="885" spans="4:4">
      <c r="D885"/>
    </row>
    <row r="886" spans="4:4">
      <c r="D886"/>
    </row>
    <row r="887" spans="4:4">
      <c r="D887"/>
    </row>
    <row r="888" spans="4:4">
      <c r="D888"/>
    </row>
    <row r="889" spans="4:4">
      <c r="D889"/>
    </row>
    <row r="890" spans="4:4">
      <c r="D890"/>
    </row>
    <row r="891" spans="4:4">
      <c r="D891"/>
    </row>
    <row r="892" spans="4:4">
      <c r="D892"/>
    </row>
    <row r="893" spans="4:4">
      <c r="D893"/>
    </row>
    <row r="894" spans="4:4">
      <c r="D894"/>
    </row>
    <row r="895" spans="4:4">
      <c r="D895"/>
    </row>
    <row r="896" spans="4:4">
      <c r="D896"/>
    </row>
    <row r="897" spans="4:4">
      <c r="D897"/>
    </row>
    <row r="898" spans="4:4">
      <c r="D898"/>
    </row>
    <row r="899" spans="4:4">
      <c r="D899"/>
    </row>
    <row r="900" spans="4:4">
      <c r="D900"/>
    </row>
    <row r="901" spans="4:4">
      <c r="D901"/>
    </row>
    <row r="902" spans="4:4">
      <c r="D902"/>
    </row>
    <row r="903" spans="4:4">
      <c r="D903"/>
    </row>
    <row r="904" spans="4:4">
      <c r="D904"/>
    </row>
    <row r="905" spans="4:4">
      <c r="D905"/>
    </row>
    <row r="906" spans="4:4">
      <c r="D906"/>
    </row>
    <row r="907" spans="4:4">
      <c r="D907"/>
    </row>
    <row r="908" spans="4:4">
      <c r="D908"/>
    </row>
    <row r="909" spans="4:4">
      <c r="D909"/>
    </row>
    <row r="910" spans="4:4">
      <c r="D910"/>
    </row>
    <row r="911" spans="4:4">
      <c r="D911"/>
    </row>
    <row r="912" spans="4:4">
      <c r="D912"/>
    </row>
    <row r="913" spans="4:4">
      <c r="D913"/>
    </row>
    <row r="914" spans="4:4">
      <c r="D914"/>
    </row>
    <row r="915" spans="4:4">
      <c r="D915"/>
    </row>
    <row r="916" spans="4:4">
      <c r="D916"/>
    </row>
    <row r="917" spans="4:4">
      <c r="D917"/>
    </row>
    <row r="918" spans="4:4">
      <c r="D918"/>
    </row>
    <row r="919" spans="4:4">
      <c r="D919"/>
    </row>
    <row r="920" spans="4:4">
      <c r="D920"/>
    </row>
    <row r="921" spans="4:4">
      <c r="D921"/>
    </row>
    <row r="922" spans="4:4">
      <c r="D922"/>
    </row>
    <row r="923" spans="4:4">
      <c r="D923"/>
    </row>
    <row r="924" spans="4:4">
      <c r="D924"/>
    </row>
    <row r="925" spans="4:4">
      <c r="D925"/>
    </row>
    <row r="926" spans="4:4">
      <c r="D926"/>
    </row>
    <row r="927" spans="4:4">
      <c r="D927"/>
    </row>
    <row r="928" spans="4:4">
      <c r="D928"/>
    </row>
    <row r="929" spans="4:4">
      <c r="D929"/>
    </row>
    <row r="930" spans="4:4">
      <c r="D930"/>
    </row>
    <row r="931" spans="4:4">
      <c r="D931"/>
    </row>
    <row r="932" spans="4:4">
      <c r="D932"/>
    </row>
    <row r="933" spans="4:4">
      <c r="D933"/>
    </row>
    <row r="934" spans="4:4">
      <c r="D934"/>
    </row>
    <row r="935" spans="4:4">
      <c r="D935"/>
    </row>
    <row r="936" spans="4:4">
      <c r="D936"/>
    </row>
    <row r="937" spans="4:4">
      <c r="D937"/>
    </row>
    <row r="938" spans="4:4">
      <c r="D938"/>
    </row>
    <row r="939" spans="4:4">
      <c r="D939"/>
    </row>
    <row r="940" spans="4:4">
      <c r="D940"/>
    </row>
    <row r="941" spans="4:4">
      <c r="D941"/>
    </row>
    <row r="942" spans="4:4">
      <c r="D942"/>
    </row>
    <row r="943" spans="4:4">
      <c r="D943"/>
    </row>
    <row r="944" spans="4:4">
      <c r="D944"/>
    </row>
    <row r="945" spans="4:4">
      <c r="D945"/>
    </row>
    <row r="946" spans="4:4">
      <c r="D946"/>
    </row>
    <row r="947" spans="4:4">
      <c r="D947"/>
    </row>
    <row r="948" spans="4:4">
      <c r="D948"/>
    </row>
    <row r="949" spans="4:4">
      <c r="D949"/>
    </row>
    <row r="950" spans="4:4">
      <c r="D950"/>
    </row>
    <row r="951" spans="4:4">
      <c r="D951"/>
    </row>
    <row r="952" spans="4:4">
      <c r="D952"/>
    </row>
    <row r="953" spans="4:4">
      <c r="D953"/>
    </row>
    <row r="954" spans="4:4">
      <c r="D954"/>
    </row>
    <row r="955" spans="4:4">
      <c r="D955"/>
    </row>
    <row r="956" spans="4:4">
      <c r="D956"/>
    </row>
    <row r="957" spans="4:4">
      <c r="D957"/>
    </row>
    <row r="958" spans="4:4">
      <c r="D958"/>
    </row>
    <row r="959" spans="4:4">
      <c r="D959"/>
    </row>
    <row r="960" spans="4:4">
      <c r="D960"/>
    </row>
    <row r="961" spans="4:4">
      <c r="D961"/>
    </row>
    <row r="962" spans="4:4">
      <c r="D962"/>
    </row>
    <row r="963" spans="4:4">
      <c r="D963"/>
    </row>
    <row r="964" spans="4:4">
      <c r="D964"/>
    </row>
    <row r="965" spans="4:4">
      <c r="D965"/>
    </row>
    <row r="966" spans="4:4">
      <c r="D966"/>
    </row>
    <row r="967" spans="4:4">
      <c r="D967"/>
    </row>
    <row r="968" spans="4:4">
      <c r="D968"/>
    </row>
    <row r="969" spans="4:4">
      <c r="D969"/>
    </row>
    <row r="970" spans="4:4">
      <c r="D970"/>
    </row>
    <row r="971" spans="4:4">
      <c r="D971"/>
    </row>
    <row r="972" spans="4:4">
      <c r="D972"/>
    </row>
    <row r="973" spans="4:4">
      <c r="D973"/>
    </row>
    <row r="974" spans="4:4">
      <c r="D974"/>
    </row>
    <row r="975" spans="4:4">
      <c r="D975"/>
    </row>
    <row r="976" spans="4:4">
      <c r="D976"/>
    </row>
    <row r="977" spans="4:4">
      <c r="D977"/>
    </row>
    <row r="978" spans="4:4">
      <c r="D978"/>
    </row>
    <row r="979" spans="4:4">
      <c r="D979"/>
    </row>
    <row r="980" spans="4:4">
      <c r="D980"/>
    </row>
    <row r="981" spans="4:4">
      <c r="D981"/>
    </row>
    <row r="982" spans="4:4">
      <c r="D982"/>
    </row>
    <row r="983" spans="4:4">
      <c r="D983"/>
    </row>
    <row r="984" spans="4:4">
      <c r="D984"/>
    </row>
    <row r="985" spans="4:4">
      <c r="D985"/>
    </row>
    <row r="986" spans="4:4">
      <c r="D986"/>
    </row>
    <row r="987" spans="4:4">
      <c r="D987"/>
    </row>
    <row r="988" spans="4:4">
      <c r="D988"/>
    </row>
    <row r="989" spans="4:4">
      <c r="D989"/>
    </row>
    <row r="990" spans="4:4">
      <c r="D990"/>
    </row>
    <row r="991" spans="4:4">
      <c r="D991"/>
    </row>
    <row r="992" spans="4:4">
      <c r="D992"/>
    </row>
    <row r="993" spans="4:4">
      <c r="D993"/>
    </row>
    <row r="994" spans="4:4">
      <c r="D994"/>
    </row>
    <row r="995" spans="4:4">
      <c r="D995"/>
    </row>
    <row r="996" spans="4:4">
      <c r="D996"/>
    </row>
    <row r="997" spans="4:4">
      <c r="D997"/>
    </row>
    <row r="998" spans="4:4">
      <c r="D998"/>
    </row>
    <row r="999" spans="4:4">
      <c r="D999"/>
    </row>
    <row r="1000" spans="4:4">
      <c r="D1000"/>
    </row>
    <row r="1001" spans="4:4">
      <c r="D1001"/>
    </row>
    <row r="1002" spans="4:4">
      <c r="D1002"/>
    </row>
    <row r="1003" spans="4:4">
      <c r="D1003"/>
    </row>
    <row r="1004" spans="4:4">
      <c r="D1004"/>
    </row>
    <row r="1005" spans="4:4">
      <c r="D1005"/>
    </row>
    <row r="1006" spans="4:4">
      <c r="D1006"/>
    </row>
    <row r="1007" spans="4:4">
      <c r="D1007"/>
    </row>
    <row r="1008" spans="4:4">
      <c r="D1008"/>
    </row>
  </sheetData>
  <mergeCells count="2">
    <mergeCell ref="P2:Q2"/>
    <mergeCell ref="N2:O2"/>
  </mergeCells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&amp;F</oddHeader>
    <oddFooter>Page &amp;P</oddFooter>
  </headerFooter>
  <ignoredErrors>
    <ignoredError sqref="N5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" sqref="A2"/>
    </sheetView>
  </sheetViews>
  <sheetFormatPr defaultRowHeight="13.2"/>
  <sheetData>
    <row r="1" spans="1:1">
      <c r="A1">
        <f>96.49*0.0962*0.54</f>
        <v>5.0124625199999997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test_MAMA</vt:lpstr>
      <vt:lpstr>Period Logic</vt:lpstr>
    </vt:vector>
  </TitlesOfParts>
  <Company>ta-lib.org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Fortier</dc:creator>
  <cp:lastModifiedBy>Binck</cp:lastModifiedBy>
  <dcterms:created xsi:type="dcterms:W3CDTF">2003-02-10T02:04:58Z</dcterms:created>
  <dcterms:modified xsi:type="dcterms:W3CDTF">2025-04-21T16:56:50Z</dcterms:modified>
</cp:coreProperties>
</file>