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-72" yWindow="708" windowWidth="19716" windowHeight="8556"/>
  </bookViews>
  <sheets>
    <sheet name="test_MAMA" sheetId="1" r:id="rId1"/>
    <sheet name="Period Logic" sheetId="2" r:id="rId2"/>
  </sheets>
  <calcPr calcId="124519"/>
</workbook>
</file>

<file path=xl/calcChain.xml><?xml version="1.0" encoding="utf-8"?>
<calcChain xmlns="http://schemas.openxmlformats.org/spreadsheetml/2006/main">
  <c r="K256" i="1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H30"/>
  <c r="I30" s="1"/>
  <c r="J30" s="1"/>
  <c r="K30" s="1"/>
  <c r="L31" s="1"/>
  <c r="G30" l="1"/>
  <c r="A1" i="2"/>
  <c r="D32" i="1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35"/>
  <c r="D34"/>
  <c r="D33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12"/>
  <c r="D11"/>
  <c r="D10"/>
  <c r="D9"/>
  <c r="D8"/>
  <c r="D7"/>
  <c r="D6"/>
  <c r="D5"/>
  <c r="L32" l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L153" s="1"/>
  <c r="L154" s="1"/>
  <c r="L155" s="1"/>
  <c r="L156" s="1"/>
  <c r="L157" s="1"/>
  <c r="L158" s="1"/>
  <c r="L159" s="1"/>
  <c r="L160" s="1"/>
  <c r="L161" s="1"/>
  <c r="L162" s="1"/>
  <c r="L163" s="1"/>
  <c r="L164" s="1"/>
  <c r="L165" s="1"/>
  <c r="L166" s="1"/>
  <c r="L167" s="1"/>
  <c r="L168" s="1"/>
  <c r="L169" s="1"/>
  <c r="L170" s="1"/>
  <c r="L171" s="1"/>
  <c r="L172" s="1"/>
  <c r="L173" s="1"/>
  <c r="L174" s="1"/>
  <c r="L175" s="1"/>
  <c r="L176" s="1"/>
  <c r="L177" s="1"/>
  <c r="L178" s="1"/>
  <c r="L179" s="1"/>
  <c r="L180" s="1"/>
  <c r="L181" s="1"/>
  <c r="L182" s="1"/>
  <c r="L183" s="1"/>
  <c r="L184" s="1"/>
  <c r="L185" s="1"/>
  <c r="L186" s="1"/>
  <c r="L187" s="1"/>
  <c r="L188" s="1"/>
  <c r="L189" s="1"/>
  <c r="L190" s="1"/>
  <c r="L191" s="1"/>
  <c r="L192" s="1"/>
  <c r="L193" s="1"/>
  <c r="L194" s="1"/>
  <c r="L195" s="1"/>
  <c r="L196" s="1"/>
  <c r="L197" s="1"/>
  <c r="L198" s="1"/>
  <c r="L199" s="1"/>
  <c r="L200" s="1"/>
  <c r="L201" s="1"/>
  <c r="L202" s="1"/>
  <c r="L203" s="1"/>
  <c r="L204" s="1"/>
  <c r="L205" s="1"/>
  <c r="L206" s="1"/>
  <c r="L207" s="1"/>
  <c r="L208" s="1"/>
  <c r="L209" s="1"/>
  <c r="L210" s="1"/>
  <c r="L211" s="1"/>
  <c r="L212" s="1"/>
  <c r="L213" s="1"/>
  <c r="L214" s="1"/>
  <c r="L215" s="1"/>
  <c r="L216" s="1"/>
  <c r="L217" s="1"/>
  <c r="L218" s="1"/>
  <c r="L219" s="1"/>
  <c r="L220" s="1"/>
  <c r="L221" s="1"/>
  <c r="L222" s="1"/>
  <c r="L223" s="1"/>
  <c r="L224" s="1"/>
  <c r="L225" s="1"/>
  <c r="L226" s="1"/>
  <c r="L227" s="1"/>
  <c r="L228" s="1"/>
  <c r="L229" s="1"/>
  <c r="L230" s="1"/>
  <c r="L231" s="1"/>
  <c r="L232" s="1"/>
  <c r="L233" s="1"/>
  <c r="L234" s="1"/>
  <c r="L235" s="1"/>
  <c r="L236" s="1"/>
  <c r="L237" s="1"/>
  <c r="L238" s="1"/>
  <c r="L239" s="1"/>
  <c r="L240" s="1"/>
  <c r="L241" s="1"/>
  <c r="L242" s="1"/>
  <c r="L243" s="1"/>
  <c r="L244" s="1"/>
  <c r="L245" s="1"/>
  <c r="L246" s="1"/>
  <c r="L247" s="1"/>
  <c r="L248" s="1"/>
  <c r="L249" s="1"/>
  <c r="L250" s="1"/>
  <c r="L251" s="1"/>
  <c r="L252" s="1"/>
  <c r="L253" s="1"/>
  <c r="L254" s="1"/>
  <c r="L255" s="1"/>
  <c r="L256" s="1"/>
  <c r="M31"/>
  <c r="M32" l="1"/>
  <c r="M33" s="1"/>
  <c r="M34" s="1"/>
  <c r="M35" s="1"/>
  <c r="M36" s="1"/>
  <c r="M37" s="1"/>
  <c r="M38" s="1"/>
  <c r="M39" s="1"/>
  <c r="M40" s="1"/>
  <c r="M41" s="1"/>
  <c r="M42" s="1"/>
  <c r="M43" s="1"/>
  <c r="M44" s="1"/>
  <c r="M45" s="1"/>
  <c r="M46" s="1"/>
  <c r="M47" s="1"/>
  <c r="M48" s="1"/>
  <c r="M49" s="1"/>
  <c r="M50" s="1"/>
  <c r="M51" s="1"/>
  <c r="M52" s="1"/>
  <c r="M53" s="1"/>
  <c r="M54" s="1"/>
  <c r="M55" s="1"/>
  <c r="M56" s="1"/>
  <c r="M57" s="1"/>
  <c r="M58" s="1"/>
  <c r="M59" s="1"/>
  <c r="M60" s="1"/>
  <c r="M61" s="1"/>
  <c r="M62" s="1"/>
  <c r="M63" s="1"/>
  <c r="M64" s="1"/>
  <c r="M65" s="1"/>
  <c r="M66" s="1"/>
  <c r="M67" s="1"/>
  <c r="M68" s="1"/>
  <c r="M69" s="1"/>
  <c r="M70" s="1"/>
  <c r="M71" s="1"/>
  <c r="M72" s="1"/>
  <c r="M73" s="1"/>
  <c r="M74" s="1"/>
  <c r="M75" s="1"/>
  <c r="M76" s="1"/>
  <c r="M77" s="1"/>
  <c r="M78" s="1"/>
  <c r="M79" s="1"/>
  <c r="M80" s="1"/>
  <c r="M81" s="1"/>
  <c r="M82" s="1"/>
  <c r="M83" s="1"/>
  <c r="M84" s="1"/>
  <c r="M85" s="1"/>
  <c r="M86" s="1"/>
  <c r="M87" s="1"/>
  <c r="M88" s="1"/>
  <c r="M89" s="1"/>
  <c r="M90" s="1"/>
  <c r="M91" s="1"/>
  <c r="M92" s="1"/>
  <c r="M93" s="1"/>
  <c r="M94" s="1"/>
  <c r="M95" s="1"/>
  <c r="M96" s="1"/>
  <c r="M97" s="1"/>
  <c r="M98" s="1"/>
  <c r="M99" s="1"/>
  <c r="M100" s="1"/>
  <c r="M101" s="1"/>
  <c r="M102" s="1"/>
  <c r="M103" s="1"/>
  <c r="M104" s="1"/>
  <c r="M105" s="1"/>
  <c r="M106" s="1"/>
  <c r="M107" s="1"/>
  <c r="M108" s="1"/>
  <c r="M109" s="1"/>
  <c r="M110" s="1"/>
  <c r="M111" s="1"/>
  <c r="M112" s="1"/>
  <c r="M113" s="1"/>
  <c r="M114" s="1"/>
  <c r="M115" s="1"/>
  <c r="M116" s="1"/>
  <c r="M117" s="1"/>
  <c r="M118" s="1"/>
  <c r="M119" s="1"/>
  <c r="M120" s="1"/>
  <c r="M121" s="1"/>
  <c r="M122" s="1"/>
  <c r="M123" s="1"/>
  <c r="M124" s="1"/>
  <c r="M125" s="1"/>
  <c r="M126" s="1"/>
  <c r="M127" s="1"/>
  <c r="M128" s="1"/>
  <c r="M129" s="1"/>
  <c r="M130" s="1"/>
  <c r="M131" s="1"/>
  <c r="M132" s="1"/>
  <c r="M133" s="1"/>
  <c r="M134" s="1"/>
  <c r="M135" s="1"/>
  <c r="M136" s="1"/>
  <c r="M137" s="1"/>
  <c r="M138" s="1"/>
  <c r="M139" s="1"/>
  <c r="M140" s="1"/>
  <c r="M141" s="1"/>
  <c r="M142" s="1"/>
  <c r="M143" s="1"/>
  <c r="M144" s="1"/>
  <c r="M145" s="1"/>
  <c r="M146" s="1"/>
  <c r="M147" s="1"/>
  <c r="M148" s="1"/>
  <c r="M149" s="1"/>
  <c r="M150" s="1"/>
  <c r="M151" s="1"/>
  <c r="M152" s="1"/>
  <c r="M153" s="1"/>
  <c r="M154" s="1"/>
  <c r="M155" s="1"/>
  <c r="M156" s="1"/>
  <c r="M157" s="1"/>
  <c r="M158" s="1"/>
  <c r="M159" s="1"/>
  <c r="M160" s="1"/>
  <c r="M161" s="1"/>
  <c r="M162" s="1"/>
  <c r="M163" s="1"/>
  <c r="M164" s="1"/>
  <c r="M165" s="1"/>
  <c r="M166" s="1"/>
  <c r="M167" s="1"/>
  <c r="M168" s="1"/>
  <c r="M169" s="1"/>
  <c r="M170" s="1"/>
  <c r="M171" s="1"/>
  <c r="M172" s="1"/>
  <c r="M173" s="1"/>
  <c r="M174" s="1"/>
  <c r="M175" s="1"/>
  <c r="M176" s="1"/>
  <c r="M177" s="1"/>
  <c r="M178" s="1"/>
  <c r="M179" s="1"/>
  <c r="M180" s="1"/>
  <c r="M181" s="1"/>
  <c r="M182" s="1"/>
  <c r="M183" s="1"/>
  <c r="M184" s="1"/>
  <c r="M185" s="1"/>
  <c r="M186" s="1"/>
  <c r="M187" s="1"/>
  <c r="M188" s="1"/>
  <c r="M189" s="1"/>
  <c r="M190" s="1"/>
  <c r="M191" s="1"/>
  <c r="M192" s="1"/>
  <c r="M193" s="1"/>
  <c r="M194" s="1"/>
  <c r="M195" s="1"/>
  <c r="M196" s="1"/>
  <c r="M197" s="1"/>
  <c r="M198" s="1"/>
  <c r="M199" s="1"/>
  <c r="M200" s="1"/>
  <c r="M201" s="1"/>
  <c r="M202" s="1"/>
  <c r="M203" s="1"/>
  <c r="M204" s="1"/>
  <c r="M205" s="1"/>
  <c r="M206" s="1"/>
  <c r="M207" s="1"/>
  <c r="M208" s="1"/>
  <c r="M209" s="1"/>
  <c r="M210" s="1"/>
  <c r="M211" s="1"/>
  <c r="M212" s="1"/>
  <c r="M213" s="1"/>
  <c r="M214" s="1"/>
  <c r="M215" s="1"/>
  <c r="M216" s="1"/>
  <c r="M217" s="1"/>
  <c r="M218" s="1"/>
  <c r="M219" s="1"/>
  <c r="M220" s="1"/>
  <c r="M221" s="1"/>
  <c r="M222" s="1"/>
  <c r="M223" s="1"/>
  <c r="M224" s="1"/>
  <c r="M225" s="1"/>
  <c r="M226" s="1"/>
  <c r="M227" s="1"/>
  <c r="M228" s="1"/>
  <c r="M229" s="1"/>
  <c r="M230" s="1"/>
  <c r="M231" s="1"/>
  <c r="M232" s="1"/>
  <c r="M233" s="1"/>
  <c r="M234" s="1"/>
  <c r="M235" s="1"/>
  <c r="M236" s="1"/>
  <c r="M237" s="1"/>
  <c r="M238" s="1"/>
  <c r="M239" s="1"/>
  <c r="M240" s="1"/>
  <c r="M241" s="1"/>
  <c r="M242" s="1"/>
  <c r="M243" s="1"/>
  <c r="M244" s="1"/>
  <c r="M245" s="1"/>
  <c r="M246" s="1"/>
  <c r="M247" s="1"/>
  <c r="M248" s="1"/>
  <c r="M249" s="1"/>
  <c r="M250" s="1"/>
  <c r="M251" s="1"/>
  <c r="M252" s="1"/>
  <c r="M253" s="1"/>
  <c r="M254" s="1"/>
  <c r="M255" s="1"/>
  <c r="M256" s="1"/>
  <c r="G31" l="1"/>
  <c r="H31" s="1"/>
  <c r="G32" l="1"/>
  <c r="H32" l="1"/>
  <c r="G33" l="1"/>
  <c r="H33" l="1"/>
  <c r="G34" l="1"/>
  <c r="H34" s="1"/>
  <c r="G35" l="1"/>
  <c r="H35" s="1"/>
  <c r="G36" l="1"/>
  <c r="H36" l="1"/>
  <c r="G37" l="1"/>
  <c r="H37" l="1"/>
  <c r="G38" l="1"/>
  <c r="H38" s="1"/>
  <c r="G39" l="1"/>
  <c r="H39" l="1"/>
  <c r="G40" l="1"/>
  <c r="H40" l="1"/>
  <c r="G41" l="1"/>
  <c r="H41" l="1"/>
  <c r="G42" l="1"/>
  <c r="H42" l="1"/>
  <c r="G43" l="1"/>
  <c r="H43" l="1"/>
  <c r="G44" l="1"/>
  <c r="H44" l="1"/>
  <c r="G45" l="1"/>
  <c r="H45" l="1"/>
  <c r="G46" l="1"/>
  <c r="H46" l="1"/>
  <c r="G47" l="1"/>
  <c r="H47" l="1"/>
  <c r="G48" l="1"/>
  <c r="H48" l="1"/>
  <c r="G49" l="1"/>
  <c r="H49" l="1"/>
  <c r="G50" l="1"/>
  <c r="H50" l="1"/>
  <c r="G51" l="1"/>
  <c r="H51" l="1"/>
  <c r="G52" l="1"/>
  <c r="H52" l="1"/>
  <c r="G53" l="1"/>
  <c r="H53" l="1"/>
  <c r="G54" l="1"/>
  <c r="H54" l="1"/>
  <c r="G55" l="1"/>
  <c r="H55" l="1"/>
  <c r="G56" l="1"/>
  <c r="H56" l="1"/>
  <c r="G57" l="1"/>
  <c r="H57" l="1"/>
  <c r="G58" l="1"/>
  <c r="H58" s="1"/>
  <c r="G59" l="1"/>
  <c r="H59" s="1"/>
  <c r="G60" l="1"/>
  <c r="H60" s="1"/>
  <c r="G61" l="1"/>
  <c r="H61" l="1"/>
  <c r="G62" l="1"/>
  <c r="H62" l="1"/>
  <c r="G63" l="1"/>
  <c r="H63" l="1"/>
  <c r="G64" l="1"/>
  <c r="H64" l="1"/>
  <c r="G65" l="1"/>
  <c r="H65" l="1"/>
  <c r="G66" l="1"/>
  <c r="H66" l="1"/>
  <c r="G67" l="1"/>
  <c r="H67" l="1"/>
  <c r="G68" l="1"/>
  <c r="H68" l="1"/>
  <c r="G69" l="1"/>
  <c r="H69" l="1"/>
  <c r="G70" l="1"/>
  <c r="H70" l="1"/>
  <c r="G71" l="1"/>
  <c r="H71" l="1"/>
  <c r="G72" l="1"/>
  <c r="H72" l="1"/>
  <c r="G73" l="1"/>
  <c r="H73" l="1"/>
  <c r="G74" l="1"/>
  <c r="H74" l="1"/>
  <c r="G75" l="1"/>
  <c r="H75" l="1"/>
  <c r="G76" l="1"/>
  <c r="H76" l="1"/>
  <c r="G77" l="1"/>
  <c r="H77" l="1"/>
  <c r="G78" l="1"/>
  <c r="H78" l="1"/>
  <c r="G79" l="1"/>
  <c r="H79" l="1"/>
  <c r="G80" l="1"/>
  <c r="H80" s="1"/>
  <c r="G81" l="1"/>
  <c r="H81" l="1"/>
  <c r="G82" l="1"/>
  <c r="H82" l="1"/>
  <c r="G83" l="1"/>
  <c r="H83" l="1"/>
  <c r="G84" l="1"/>
  <c r="H84" l="1"/>
  <c r="G85" l="1"/>
  <c r="H85" l="1"/>
  <c r="G86" l="1"/>
  <c r="H86" s="1"/>
  <c r="G87" l="1"/>
  <c r="H87" s="1"/>
  <c r="G88" l="1"/>
  <c r="H88" s="1"/>
  <c r="G89" l="1"/>
  <c r="H89" s="1"/>
  <c r="G90" l="1"/>
  <c r="H90" s="1"/>
  <c r="G91" l="1"/>
  <c r="H91" l="1"/>
  <c r="G92" l="1"/>
  <c r="H92" l="1"/>
  <c r="G93" l="1"/>
  <c r="H93" l="1"/>
  <c r="G94" l="1"/>
  <c r="H94" l="1"/>
  <c r="G95" l="1"/>
  <c r="H95" l="1"/>
  <c r="G96" l="1"/>
  <c r="H96" l="1"/>
  <c r="G97" l="1"/>
  <c r="H97" l="1"/>
  <c r="G98" l="1"/>
  <c r="H98" l="1"/>
  <c r="G99" l="1"/>
  <c r="H99" l="1"/>
  <c r="G100" l="1"/>
  <c r="H100" l="1"/>
  <c r="G101" l="1"/>
  <c r="H101" l="1"/>
  <c r="G102" l="1"/>
  <c r="H102" l="1"/>
  <c r="G103" l="1"/>
  <c r="H103" l="1"/>
  <c r="G104" l="1"/>
  <c r="H104" l="1"/>
  <c r="G105" l="1"/>
  <c r="H105" l="1"/>
  <c r="G106" l="1"/>
  <c r="H106" l="1"/>
  <c r="G107" l="1"/>
  <c r="H107" l="1"/>
  <c r="G108" l="1"/>
  <c r="H108" l="1"/>
  <c r="G109" l="1"/>
  <c r="H109" l="1"/>
  <c r="G110" l="1"/>
  <c r="H110" l="1"/>
  <c r="G111" l="1"/>
  <c r="H111" l="1"/>
  <c r="G112" l="1"/>
  <c r="H112" l="1"/>
  <c r="G113" l="1"/>
  <c r="H113" l="1"/>
  <c r="G114" l="1"/>
  <c r="H114" l="1"/>
  <c r="G115" l="1"/>
  <c r="H115" l="1"/>
  <c r="G116" l="1"/>
  <c r="H116" s="1"/>
  <c r="G117" l="1"/>
  <c r="H117" l="1"/>
  <c r="G118" l="1"/>
  <c r="H118" l="1"/>
  <c r="G119" l="1"/>
  <c r="H119" l="1"/>
  <c r="G120" l="1"/>
  <c r="H120" l="1"/>
  <c r="G121" l="1"/>
  <c r="H121" l="1"/>
  <c r="G122" l="1"/>
  <c r="H122" s="1"/>
  <c r="G123" l="1"/>
  <c r="H123" l="1"/>
  <c r="G124" l="1"/>
  <c r="H124" l="1"/>
  <c r="G125" l="1"/>
  <c r="H125" l="1"/>
  <c r="G126" l="1"/>
  <c r="H126" l="1"/>
  <c r="G127" l="1"/>
  <c r="H127" l="1"/>
  <c r="G128" l="1"/>
  <c r="H128" s="1"/>
  <c r="G129" l="1"/>
  <c r="H129" l="1"/>
  <c r="G130" l="1"/>
  <c r="H130" l="1"/>
  <c r="G131" l="1"/>
  <c r="H131" l="1"/>
  <c r="G132" l="1"/>
  <c r="H132" l="1"/>
  <c r="G133" l="1"/>
  <c r="H133" l="1"/>
  <c r="G134" l="1"/>
  <c r="H134" l="1"/>
  <c r="G135" l="1"/>
  <c r="H135" l="1"/>
  <c r="G136" l="1"/>
  <c r="H136" l="1"/>
  <c r="G137" l="1"/>
  <c r="H137" l="1"/>
  <c r="G138" l="1"/>
  <c r="H138" l="1"/>
  <c r="G139" l="1"/>
  <c r="H139" l="1"/>
  <c r="G140" l="1"/>
  <c r="H140" l="1"/>
  <c r="G141" l="1"/>
  <c r="H141" l="1"/>
  <c r="G142" l="1"/>
  <c r="H142" s="1"/>
  <c r="G143" l="1"/>
  <c r="H143" l="1"/>
  <c r="G144" l="1"/>
  <c r="H144" s="1"/>
  <c r="G145" l="1"/>
  <c r="H145" l="1"/>
  <c r="G146" l="1"/>
  <c r="H146" l="1"/>
  <c r="G147" l="1"/>
  <c r="H147" l="1"/>
  <c r="G148" l="1"/>
  <c r="H148" l="1"/>
  <c r="G149" l="1"/>
  <c r="H149" l="1"/>
  <c r="G150" l="1"/>
  <c r="H150" l="1"/>
  <c r="G151" l="1"/>
  <c r="H151" l="1"/>
  <c r="G152" l="1"/>
  <c r="H152" l="1"/>
  <c r="G153" l="1"/>
  <c r="H153" l="1"/>
  <c r="G154" l="1"/>
  <c r="H154" s="1"/>
  <c r="G155" l="1"/>
  <c r="H155" l="1"/>
  <c r="G156" l="1"/>
  <c r="H156" l="1"/>
  <c r="G157" l="1"/>
  <c r="H157" l="1"/>
  <c r="G158" l="1"/>
  <c r="H158" l="1"/>
  <c r="G159" l="1"/>
  <c r="H159" l="1"/>
  <c r="G160" l="1"/>
  <c r="H160" l="1"/>
  <c r="G161" l="1"/>
  <c r="H161" l="1"/>
  <c r="G162" l="1"/>
  <c r="H162" l="1"/>
  <c r="G163" l="1"/>
  <c r="H163" l="1"/>
  <c r="G164" l="1"/>
  <c r="H164" l="1"/>
  <c r="G165" l="1"/>
  <c r="H165" l="1"/>
  <c r="G166" l="1"/>
  <c r="H166" l="1"/>
  <c r="G167" l="1"/>
  <c r="H167" l="1"/>
  <c r="G168" l="1"/>
  <c r="H168" l="1"/>
  <c r="G169" l="1"/>
  <c r="H169" l="1"/>
  <c r="G170" l="1"/>
  <c r="H170" l="1"/>
  <c r="G171" l="1"/>
  <c r="H171" l="1"/>
  <c r="G172" l="1"/>
  <c r="H172" l="1"/>
  <c r="G173" l="1"/>
  <c r="H173" l="1"/>
  <c r="G174" l="1"/>
  <c r="H174" l="1"/>
  <c r="G175" l="1"/>
  <c r="H175" l="1"/>
  <c r="G176" l="1"/>
  <c r="H176" l="1"/>
  <c r="G177" l="1"/>
  <c r="H177" l="1"/>
  <c r="G178" l="1"/>
  <c r="H178" l="1"/>
  <c r="G179" l="1"/>
  <c r="H179" l="1"/>
  <c r="G180" l="1"/>
  <c r="H180" l="1"/>
  <c r="G181" l="1"/>
  <c r="H181" l="1"/>
  <c r="G182" l="1"/>
  <c r="H182" l="1"/>
  <c r="G183" l="1"/>
  <c r="H183" l="1"/>
  <c r="G184" l="1"/>
  <c r="H184" l="1"/>
  <c r="G185" l="1"/>
  <c r="H185" l="1"/>
  <c r="G186" l="1"/>
  <c r="H186" l="1"/>
  <c r="G187" l="1"/>
  <c r="H187" s="1"/>
  <c r="G188" l="1"/>
  <c r="H188" l="1"/>
  <c r="G189" l="1"/>
  <c r="H189" l="1"/>
  <c r="G190" l="1"/>
  <c r="H190" l="1"/>
  <c r="G191" l="1"/>
  <c r="H191" l="1"/>
  <c r="G192" l="1"/>
  <c r="H192" l="1"/>
  <c r="G193" l="1"/>
  <c r="H193" l="1"/>
  <c r="G194" l="1"/>
  <c r="H194" l="1"/>
  <c r="G195" l="1"/>
  <c r="H195" l="1"/>
  <c r="G196" l="1"/>
  <c r="H196" l="1"/>
  <c r="G197" l="1"/>
  <c r="H197" l="1"/>
  <c r="G198" l="1"/>
  <c r="H198" l="1"/>
  <c r="G199" l="1"/>
  <c r="H199" l="1"/>
  <c r="G200" l="1"/>
  <c r="H200" l="1"/>
  <c r="G201" l="1"/>
  <c r="H201" l="1"/>
  <c r="G202" l="1"/>
  <c r="H202" l="1"/>
  <c r="G203" l="1"/>
  <c r="H203" s="1"/>
  <c r="G204" l="1"/>
  <c r="H204" s="1"/>
  <c r="G205" l="1"/>
  <c r="H205" s="1"/>
  <c r="G206" l="1"/>
  <c r="H206" s="1"/>
  <c r="G207" l="1"/>
  <c r="H207" s="1"/>
  <c r="G208" l="1"/>
  <c r="H208" s="1"/>
  <c r="G209" l="1"/>
  <c r="H209" s="1"/>
  <c r="G210" l="1"/>
  <c r="H210" s="1"/>
  <c r="G211" l="1"/>
  <c r="H211" s="1"/>
  <c r="G212" l="1"/>
  <c r="H212" l="1"/>
  <c r="G213" l="1"/>
  <c r="H213" l="1"/>
  <c r="G214" l="1"/>
  <c r="H214" l="1"/>
  <c r="G215" l="1"/>
  <c r="H215" l="1"/>
  <c r="G216" l="1"/>
  <c r="H216" l="1"/>
  <c r="G217" l="1"/>
  <c r="H217" l="1"/>
  <c r="G218" l="1"/>
  <c r="H218" l="1"/>
  <c r="G219" l="1"/>
  <c r="H219" l="1"/>
  <c r="G220" l="1"/>
  <c r="H220" l="1"/>
  <c r="G221" l="1"/>
  <c r="H221" l="1"/>
  <c r="G222" l="1"/>
  <c r="H222" l="1"/>
  <c r="G223" l="1"/>
  <c r="H223" l="1"/>
  <c r="G224" l="1"/>
  <c r="H224" l="1"/>
  <c r="G225" l="1"/>
  <c r="H225" l="1"/>
  <c r="G226" l="1"/>
  <c r="H226" l="1"/>
  <c r="G227" l="1"/>
  <c r="H227" l="1"/>
  <c r="G228" l="1"/>
  <c r="H228" l="1"/>
  <c r="G229" l="1"/>
  <c r="H229" l="1"/>
  <c r="G230" l="1"/>
  <c r="H230" l="1"/>
  <c r="G231" l="1"/>
  <c r="H231" l="1"/>
  <c r="G232" l="1"/>
  <c r="H232" l="1"/>
  <c r="G233" l="1"/>
  <c r="H233" l="1"/>
  <c r="G234" l="1"/>
  <c r="H234" l="1"/>
  <c r="G235" l="1"/>
  <c r="H235" l="1"/>
  <c r="G236" l="1"/>
  <c r="H236" l="1"/>
  <c r="G237" l="1"/>
  <c r="H237" l="1"/>
  <c r="G238" l="1"/>
  <c r="H238" l="1"/>
  <c r="G239" l="1"/>
  <c r="H239" l="1"/>
  <c r="G240" l="1"/>
  <c r="H240" l="1"/>
  <c r="G241" l="1"/>
  <c r="H241" l="1"/>
  <c r="G242" l="1"/>
  <c r="H242" l="1"/>
  <c r="G243" l="1"/>
  <c r="H243" l="1"/>
  <c r="G244" l="1"/>
  <c r="H244" l="1"/>
  <c r="G245" l="1"/>
  <c r="H245" l="1"/>
  <c r="G246" l="1"/>
  <c r="H246" l="1"/>
  <c r="G247" l="1"/>
  <c r="H247" l="1"/>
  <c r="G248" l="1"/>
  <c r="H248" l="1"/>
  <c r="G249" l="1"/>
  <c r="H249" l="1"/>
  <c r="G250" l="1"/>
  <c r="H250" l="1"/>
  <c r="G251" l="1"/>
  <c r="H251" l="1"/>
  <c r="G252" l="1"/>
  <c r="H252" l="1"/>
  <c r="G253" l="1"/>
  <c r="H253" l="1"/>
  <c r="G254" l="1"/>
  <c r="H254" l="1"/>
  <c r="G255" l="1"/>
  <c r="H255" s="1"/>
  <c r="G256" l="1"/>
  <c r="H256" s="1"/>
</calcChain>
</file>

<file path=xl/sharedStrings.xml><?xml version="1.0" encoding="utf-8"?>
<sst xmlns="http://schemas.openxmlformats.org/spreadsheetml/2006/main" count="13" uniqueCount="12">
  <si>
    <t>High</t>
  </si>
  <si>
    <t>Low</t>
  </si>
  <si>
    <t>Price</t>
  </si>
  <si>
    <t>Q1</t>
  </si>
  <si>
    <t>I1</t>
  </si>
  <si>
    <t>Phase</t>
  </si>
  <si>
    <t>Delta</t>
  </si>
  <si>
    <t>Alpha</t>
  </si>
  <si>
    <t>MAMA</t>
  </si>
  <si>
    <t>FAMA</t>
  </si>
  <si>
    <t>Alpha raw</t>
  </si>
  <si>
    <t xml:space="preserve">Alpha </t>
  </si>
</sst>
</file>

<file path=xl/styles.xml><?xml version="1.0" encoding="utf-8"?>
<styleSheet xmlns="http://schemas.openxmlformats.org/spreadsheetml/2006/main">
  <numFmts count="5">
    <numFmt numFmtId="164" formatCode="0.0000"/>
    <numFmt numFmtId="165" formatCode="0.00000"/>
    <numFmt numFmtId="166" formatCode="0.00000000000000"/>
    <numFmt numFmtId="167" formatCode="0.00000000000000000"/>
    <numFmt numFmtId="168" formatCode="0.000000000000000000"/>
  </numFmts>
  <fonts count="4">
    <font>
      <sz val="10"/>
      <name val="Geneva"/>
    </font>
    <font>
      <sz val="10"/>
      <name val="Geneva"/>
    </font>
    <font>
      <sz val="8"/>
      <name val="Geneva"/>
    </font>
    <font>
      <sz val="10"/>
      <color indexed="22"/>
      <name val="Geneva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 applyBorder="1" applyAlignment="1">
      <alignment horizontal="center"/>
    </xf>
    <xf numFmtId="1" fontId="0" fillId="0" borderId="0" xfId="0" applyNumberFormat="1" applyFill="1" applyAlignment="1"/>
    <xf numFmtId="1" fontId="0" fillId="0" borderId="0" xfId="0" applyNumberFormat="1" applyFill="1" applyAlignment="1">
      <alignment horizontal="center"/>
    </xf>
    <xf numFmtId="164" fontId="0" fillId="0" borderId="0" xfId="0" applyNumberFormat="1" applyFill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0" fillId="0" borderId="0" xfId="0" applyBorder="1"/>
    <xf numFmtId="165" fontId="0" fillId="0" borderId="1" xfId="0" applyNumberFormat="1" applyFill="1" applyBorder="1"/>
    <xf numFmtId="165" fontId="1" fillId="0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 applyBorder="1"/>
    <xf numFmtId="0" fontId="3" fillId="2" borderId="0" xfId="0" applyFont="1" applyFill="1" applyBorder="1"/>
    <xf numFmtId="2" fontId="3" fillId="2" borderId="0" xfId="0" applyNumberFormat="1" applyFont="1" applyFill="1" applyBorder="1"/>
    <xf numFmtId="164" fontId="3" fillId="2" borderId="0" xfId="0" applyNumberFormat="1" applyFont="1" applyFill="1" applyBorder="1"/>
    <xf numFmtId="164" fontId="0" fillId="2" borderId="0" xfId="0" applyNumberFormat="1" applyFill="1" applyBorder="1"/>
    <xf numFmtId="168" fontId="0" fillId="0" borderId="0" xfId="0" applyNumberFormat="1"/>
    <xf numFmtId="168" fontId="0" fillId="0" borderId="0" xfId="0" applyNumberFormat="1" applyBorder="1"/>
    <xf numFmtId="167" fontId="0" fillId="0" borderId="0" xfId="0" applyNumberFormat="1" applyFill="1" applyBorder="1"/>
    <xf numFmtId="167" fontId="0" fillId="0" borderId="2" xfId="0" applyNumberFormat="1" applyFill="1" applyBorder="1"/>
    <xf numFmtId="167" fontId="0" fillId="0" borderId="1" xfId="0" applyNumberFormat="1" applyFill="1" applyBorder="1"/>
    <xf numFmtId="2" fontId="0" fillId="2" borderId="0" xfId="0" applyNumberFormat="1" applyFill="1" applyBorder="1"/>
    <xf numFmtId="167" fontId="0" fillId="3" borderId="0" xfId="0" applyNumberFormat="1" applyFill="1" applyBorder="1"/>
    <xf numFmtId="167" fontId="1" fillId="3" borderId="0" xfId="0" applyNumberFormat="1" applyFont="1" applyFill="1" applyBorder="1"/>
    <xf numFmtId="0" fontId="0" fillId="3" borderId="0" xfId="0" applyFill="1"/>
    <xf numFmtId="1" fontId="0" fillId="3" borderId="0" xfId="0" applyNumberFormat="1" applyFill="1" applyAlignment="1"/>
    <xf numFmtId="1" fontId="0" fillId="3" borderId="0" xfId="0" applyNumberFormat="1" applyFill="1" applyAlignment="1">
      <alignment horizontal="center"/>
    </xf>
    <xf numFmtId="164" fontId="0" fillId="3" borderId="0" xfId="0" applyNumberFormat="1" applyFill="1" applyBorder="1"/>
    <xf numFmtId="164" fontId="0" fillId="3" borderId="2" xfId="0" applyNumberFormat="1" applyFill="1" applyBorder="1"/>
    <xf numFmtId="164" fontId="0" fillId="3" borderId="1" xfId="0" applyNumberFormat="1" applyFill="1" applyBorder="1"/>
    <xf numFmtId="166" fontId="0" fillId="2" borderId="0" xfId="0" applyNumberFormat="1" applyFill="1"/>
    <xf numFmtId="166" fontId="0" fillId="3" borderId="0" xfId="0" applyNumberFormat="1" applyFill="1" applyBorder="1"/>
    <xf numFmtId="164" fontId="0" fillId="4" borderId="0" xfId="0" applyNumberFormat="1" applyFill="1" applyBorder="1"/>
    <xf numFmtId="166" fontId="0" fillId="4" borderId="0" xfId="0" applyNumberFormat="1" applyFill="1" applyBorder="1"/>
    <xf numFmtId="0" fontId="1" fillId="3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008"/>
  <sheetViews>
    <sheetView tabSelected="1" topLeftCell="C31" workbookViewId="0">
      <selection activeCell="M39" sqref="M39"/>
    </sheetView>
  </sheetViews>
  <sheetFormatPr defaultColWidth="11.5546875" defaultRowHeight="13.2"/>
  <cols>
    <col min="1" max="1" width="9.109375" customWidth="1"/>
    <col min="2" max="3" width="7" customWidth="1"/>
    <col min="4" max="4" width="24.44140625" style="1" customWidth="1"/>
    <col min="5" max="5" width="25.77734375" customWidth="1"/>
    <col min="6" max="6" width="26.5546875" style="2" customWidth="1"/>
    <col min="7" max="8" width="8.6640625" style="2" customWidth="1"/>
    <col min="9" max="9" width="12.5546875" style="2" customWidth="1"/>
    <col min="10" max="11" width="8.6640625" style="2" customWidth="1"/>
    <col min="12" max="12" width="24" style="2" customWidth="1"/>
    <col min="13" max="13" width="23.5546875" style="2" customWidth="1"/>
    <col min="14" max="15" width="11.5546875" customWidth="1"/>
    <col min="16" max="16" width="4.33203125" customWidth="1"/>
    <col min="17" max="17" width="6" hidden="1" customWidth="1"/>
    <col min="18" max="18" width="1.6640625" customWidth="1"/>
    <col min="19" max="19" width="34" customWidth="1"/>
    <col min="20" max="20" width="2.109375" customWidth="1"/>
    <col min="21" max="21" width="4.33203125" customWidth="1"/>
  </cols>
  <sheetData>
    <row r="1" spans="2:17">
      <c r="B1">
        <v>0.5</v>
      </c>
      <c r="C1">
        <v>0.05</v>
      </c>
      <c r="D1" s="6"/>
    </row>
    <row r="2" spans="2:17" s="31" customFormat="1">
      <c r="D2" s="32"/>
      <c r="E2" s="32"/>
      <c r="F2" s="32"/>
      <c r="G2" s="33"/>
      <c r="H2" s="33"/>
      <c r="I2" s="33"/>
      <c r="J2" s="33"/>
      <c r="K2" s="33"/>
      <c r="L2" s="33"/>
      <c r="M2" s="33"/>
      <c r="N2" s="41"/>
      <c r="O2" s="41"/>
      <c r="P2" s="41"/>
      <c r="Q2" s="41"/>
    </row>
    <row r="3" spans="2:17">
      <c r="D3" s="9"/>
      <c r="E3" s="9"/>
      <c r="F3" s="9"/>
      <c r="G3" s="10"/>
      <c r="H3" s="10" t="s">
        <v>6</v>
      </c>
      <c r="I3" s="10"/>
      <c r="J3" s="10"/>
      <c r="K3" s="10"/>
      <c r="L3" s="10"/>
      <c r="M3" s="9"/>
      <c r="N3" s="13"/>
      <c r="O3" s="13"/>
      <c r="P3" s="13"/>
    </row>
    <row r="4" spans="2:17">
      <c r="B4" t="s">
        <v>0</v>
      </c>
      <c r="C4" t="s">
        <v>1</v>
      </c>
      <c r="D4" s="3" t="s">
        <v>2</v>
      </c>
      <c r="E4" s="4" t="s">
        <v>3</v>
      </c>
      <c r="F4" s="5" t="s">
        <v>4</v>
      </c>
      <c r="G4" s="8" t="s">
        <v>5</v>
      </c>
      <c r="H4" s="8" t="s">
        <v>5</v>
      </c>
      <c r="I4" s="8" t="s">
        <v>10</v>
      </c>
      <c r="J4" s="8" t="s">
        <v>11</v>
      </c>
      <c r="K4" s="8" t="s">
        <v>7</v>
      </c>
      <c r="L4" s="8" t="s">
        <v>8</v>
      </c>
      <c r="M4" s="5" t="s">
        <v>9</v>
      </c>
      <c r="N4" s="4"/>
      <c r="O4" s="4"/>
      <c r="P4" s="4"/>
    </row>
    <row r="5" spans="2:17">
      <c r="B5" s="12">
        <v>93.25</v>
      </c>
      <c r="C5" s="12">
        <v>90.75</v>
      </c>
      <c r="D5" s="15">
        <f>(B5+C5)/2</f>
        <v>92</v>
      </c>
      <c r="E5" s="19"/>
      <c r="F5" s="20"/>
      <c r="G5" s="21"/>
      <c r="H5" s="21"/>
      <c r="I5" s="21"/>
      <c r="J5" s="21"/>
      <c r="K5" s="21"/>
      <c r="L5" s="21"/>
      <c r="M5" s="20"/>
    </row>
    <row r="6" spans="2:17">
      <c r="B6" s="12">
        <v>94.94</v>
      </c>
      <c r="C6" s="12">
        <v>91.405000000000001</v>
      </c>
      <c r="D6" s="15">
        <f t="shared" ref="D6:D69" si="0">(B6+C6)/2</f>
        <v>93.172499999999999</v>
      </c>
      <c r="E6" s="19"/>
      <c r="F6" s="20"/>
      <c r="G6" s="21"/>
      <c r="H6" s="21"/>
      <c r="I6" s="21"/>
      <c r="J6" s="21"/>
      <c r="K6" s="21"/>
      <c r="L6" s="21"/>
      <c r="M6" s="20"/>
    </row>
    <row r="7" spans="2:17">
      <c r="B7" s="12">
        <v>96.375</v>
      </c>
      <c r="C7" s="12">
        <v>94.25</v>
      </c>
      <c r="D7" s="15">
        <f t="shared" si="0"/>
        <v>95.3125</v>
      </c>
      <c r="E7" s="19"/>
      <c r="F7" s="20"/>
      <c r="G7" s="21"/>
      <c r="H7" s="21"/>
      <c r="I7" s="21"/>
      <c r="J7" s="21"/>
      <c r="K7" s="21"/>
      <c r="L7" s="21"/>
      <c r="M7" s="20"/>
    </row>
    <row r="8" spans="2:17">
      <c r="B8" s="12">
        <v>96.19</v>
      </c>
      <c r="C8" s="12">
        <v>93.5</v>
      </c>
      <c r="D8" s="15">
        <f t="shared" si="0"/>
        <v>94.844999999999999</v>
      </c>
      <c r="E8" s="19"/>
      <c r="F8" s="21"/>
      <c r="G8" s="21"/>
      <c r="H8" s="21"/>
      <c r="I8" s="21"/>
      <c r="J8" s="21"/>
      <c r="K8" s="21"/>
      <c r="L8" s="21"/>
      <c r="M8" s="20"/>
    </row>
    <row r="9" spans="2:17">
      <c r="B9" s="12">
        <v>96</v>
      </c>
      <c r="C9" s="12">
        <v>92.814999999999998</v>
      </c>
      <c r="D9" s="15">
        <f t="shared" si="0"/>
        <v>94.407499999999999</v>
      </c>
      <c r="E9" s="19"/>
      <c r="F9" s="21"/>
      <c r="G9" s="21"/>
      <c r="H9" s="21"/>
      <c r="I9" s="21"/>
      <c r="J9" s="21"/>
      <c r="K9" s="21"/>
      <c r="L9" s="21"/>
      <c r="M9" s="20"/>
    </row>
    <row r="10" spans="2:17">
      <c r="B10" s="12">
        <v>94.72</v>
      </c>
      <c r="C10" s="12">
        <v>93.5</v>
      </c>
      <c r="D10" s="15">
        <f t="shared" si="0"/>
        <v>94.11</v>
      </c>
      <c r="E10" s="19"/>
      <c r="F10" s="21"/>
      <c r="G10" s="21"/>
      <c r="H10" s="21"/>
      <c r="I10" s="21"/>
      <c r="J10" s="21"/>
      <c r="K10" s="21"/>
      <c r="L10" s="21"/>
      <c r="M10" s="20"/>
    </row>
    <row r="11" spans="2:17">
      <c r="B11" s="12">
        <v>95</v>
      </c>
      <c r="C11" s="12">
        <v>92</v>
      </c>
      <c r="D11" s="15">
        <f t="shared" si="0"/>
        <v>93.5</v>
      </c>
      <c r="E11" s="21"/>
      <c r="F11" s="21"/>
      <c r="G11" s="21"/>
      <c r="H11" s="21"/>
      <c r="I11" s="21"/>
      <c r="J11" s="21"/>
      <c r="K11" s="21"/>
      <c r="L11" s="21"/>
      <c r="M11" s="20"/>
    </row>
    <row r="12" spans="2:17">
      <c r="B12" s="12">
        <v>93.72</v>
      </c>
      <c r="C12" s="12">
        <v>89.75</v>
      </c>
      <c r="D12" s="15">
        <f t="shared" si="0"/>
        <v>91.734999999999999</v>
      </c>
      <c r="E12" s="21"/>
      <c r="F12" s="21"/>
      <c r="G12" s="21"/>
      <c r="H12" s="21"/>
      <c r="I12" s="21"/>
      <c r="J12" s="21"/>
      <c r="K12" s="21"/>
      <c r="L12" s="21"/>
      <c r="M12" s="20"/>
    </row>
    <row r="13" spans="2:17">
      <c r="B13" s="12">
        <v>92.47</v>
      </c>
      <c r="C13" s="12">
        <v>89.44</v>
      </c>
      <c r="D13" s="16">
        <f t="shared" si="0"/>
        <v>90.954999999999998</v>
      </c>
      <c r="E13" s="21"/>
      <c r="F13" s="21"/>
      <c r="G13" s="21"/>
      <c r="H13" s="21"/>
      <c r="I13" s="21"/>
      <c r="J13" s="21"/>
      <c r="K13" s="21"/>
      <c r="L13" s="21"/>
      <c r="M13" s="20"/>
    </row>
    <row r="14" spans="2:17">
      <c r="B14" s="12">
        <v>92.75</v>
      </c>
      <c r="C14" s="12">
        <v>90.625</v>
      </c>
      <c r="D14" s="15">
        <f t="shared" si="0"/>
        <v>91.6875</v>
      </c>
      <c r="E14" s="21"/>
      <c r="F14" s="21"/>
      <c r="G14" s="21"/>
      <c r="H14" s="21"/>
      <c r="I14" s="21"/>
      <c r="J14" s="21"/>
      <c r="K14" s="21"/>
      <c r="L14" s="21"/>
      <c r="M14" s="20"/>
    </row>
    <row r="15" spans="2:17">
      <c r="B15" s="12">
        <v>96.25</v>
      </c>
      <c r="C15" s="12">
        <v>92.75</v>
      </c>
      <c r="D15" s="15">
        <f t="shared" si="0"/>
        <v>94.5</v>
      </c>
      <c r="E15" s="21"/>
      <c r="F15" s="21"/>
      <c r="G15" s="21"/>
      <c r="H15" s="21"/>
      <c r="I15" s="21"/>
      <c r="J15" s="21"/>
      <c r="K15" s="21"/>
      <c r="L15" s="21"/>
      <c r="M15" s="20"/>
    </row>
    <row r="16" spans="2:17">
      <c r="B16">
        <v>99.625</v>
      </c>
      <c r="C16">
        <v>96.314999999999998</v>
      </c>
      <c r="D16" s="17">
        <f t="shared" si="0"/>
        <v>97.97</v>
      </c>
      <c r="E16" s="22"/>
      <c r="F16" s="22"/>
      <c r="G16" s="22"/>
      <c r="H16" s="22"/>
      <c r="I16" s="22"/>
      <c r="J16" s="22"/>
      <c r="K16" s="22"/>
      <c r="L16" s="22"/>
      <c r="M16" s="28"/>
    </row>
    <row r="17" spans="2:13">
      <c r="B17">
        <v>99.125</v>
      </c>
      <c r="C17">
        <v>96.03</v>
      </c>
      <c r="D17" s="7">
        <f t="shared" si="0"/>
        <v>97.577500000000001</v>
      </c>
      <c r="E17" s="22"/>
      <c r="F17" s="22"/>
      <c r="G17" s="22"/>
      <c r="H17" s="22"/>
      <c r="I17" s="22"/>
      <c r="J17" s="22"/>
      <c r="K17" s="22"/>
      <c r="L17" s="22"/>
      <c r="M17" s="22"/>
    </row>
    <row r="18" spans="2:13">
      <c r="B18">
        <v>92.75</v>
      </c>
      <c r="C18">
        <v>88.814999999999998</v>
      </c>
      <c r="D18" s="7">
        <f t="shared" si="0"/>
        <v>90.782499999999999</v>
      </c>
      <c r="E18" s="22"/>
      <c r="F18" s="22"/>
      <c r="G18" s="22"/>
      <c r="H18" s="22"/>
      <c r="I18" s="22"/>
      <c r="J18" s="22"/>
      <c r="K18" s="22"/>
      <c r="L18" s="22"/>
      <c r="M18" s="22"/>
    </row>
    <row r="19" spans="2:13">
      <c r="B19">
        <v>91.314999999999998</v>
      </c>
      <c r="C19">
        <v>86.75</v>
      </c>
      <c r="D19" s="7">
        <f t="shared" si="0"/>
        <v>89.032499999999999</v>
      </c>
      <c r="E19" s="22"/>
      <c r="F19" s="22"/>
      <c r="G19" s="22"/>
      <c r="H19" s="22"/>
      <c r="I19" s="22"/>
      <c r="J19" s="22"/>
      <c r="K19" s="22"/>
      <c r="L19" s="22"/>
      <c r="M19" s="22"/>
    </row>
    <row r="20" spans="2:13">
      <c r="B20">
        <v>93.25</v>
      </c>
      <c r="C20">
        <v>90.94</v>
      </c>
      <c r="D20" s="7">
        <f t="shared" si="0"/>
        <v>92.094999999999999</v>
      </c>
      <c r="E20" s="23">
        <v>1.66480303188724</v>
      </c>
      <c r="F20" s="29">
        <v>0.61268513625000598</v>
      </c>
      <c r="G20" s="22"/>
      <c r="H20" s="22"/>
      <c r="I20" s="22"/>
      <c r="J20" s="22"/>
      <c r="K20" s="22"/>
      <c r="L20" s="22"/>
      <c r="M20" s="22"/>
    </row>
    <row r="21" spans="2:13">
      <c r="B21">
        <v>93.405000000000001</v>
      </c>
      <c r="C21">
        <v>88.905000000000001</v>
      </c>
      <c r="D21" s="7">
        <f t="shared" si="0"/>
        <v>91.155000000000001</v>
      </c>
      <c r="E21" s="23">
        <v>0.77864061948475405</v>
      </c>
      <c r="F21" s="29">
        <v>2.0464903305000002</v>
      </c>
      <c r="G21" s="22"/>
      <c r="H21" s="22"/>
      <c r="I21" s="22"/>
      <c r="J21" s="22"/>
      <c r="K21" s="22"/>
      <c r="L21" s="22"/>
      <c r="M21" s="22"/>
    </row>
    <row r="22" spans="2:13">
      <c r="B22">
        <v>90.655000000000001</v>
      </c>
      <c r="C22">
        <v>88.78</v>
      </c>
      <c r="D22" s="7">
        <f t="shared" si="0"/>
        <v>89.717500000000001</v>
      </c>
      <c r="E22" s="23">
        <v>-1.4342712549771599</v>
      </c>
      <c r="F22" s="29">
        <v>2.1956965965000101</v>
      </c>
      <c r="G22" s="22"/>
      <c r="H22" s="22"/>
      <c r="I22" s="22"/>
      <c r="J22" s="22"/>
      <c r="K22" s="22"/>
      <c r="L22" s="22"/>
      <c r="M22" s="22"/>
    </row>
    <row r="23" spans="2:13">
      <c r="B23">
        <v>91.97</v>
      </c>
      <c r="C23">
        <v>89.25</v>
      </c>
      <c r="D23" s="7">
        <f t="shared" si="0"/>
        <v>90.61</v>
      </c>
      <c r="E23" s="23">
        <v>-2.9350628901680702</v>
      </c>
      <c r="F23" s="29">
        <v>-0.21332715524999801</v>
      </c>
      <c r="G23" s="22"/>
      <c r="H23" s="22"/>
      <c r="I23" s="22"/>
      <c r="J23" s="22"/>
      <c r="K23" s="22"/>
      <c r="L23" s="22"/>
      <c r="M23" s="22"/>
    </row>
    <row r="24" spans="2:13">
      <c r="B24">
        <v>92.25</v>
      </c>
      <c r="C24">
        <v>89.75</v>
      </c>
      <c r="D24" s="7">
        <f t="shared" si="0"/>
        <v>91</v>
      </c>
      <c r="E24" s="23">
        <v>-1.43214819526157</v>
      </c>
      <c r="F24" s="29">
        <v>-2.6347588245</v>
      </c>
      <c r="G24" s="22"/>
      <c r="H24" s="22"/>
      <c r="I24" s="22"/>
      <c r="J24" s="22"/>
      <c r="K24" s="22"/>
      <c r="L24" s="22"/>
      <c r="M24" s="22"/>
    </row>
    <row r="25" spans="2:13">
      <c r="B25">
        <v>90.344999999999999</v>
      </c>
      <c r="C25">
        <v>87.5</v>
      </c>
      <c r="D25" s="7">
        <f t="shared" si="0"/>
        <v>88.922499999999999</v>
      </c>
      <c r="E25" s="23">
        <v>0.54835479382063201</v>
      </c>
      <c r="F25" s="30">
        <v>-2.2299853702500001</v>
      </c>
      <c r="G25" s="22"/>
      <c r="H25" s="22"/>
      <c r="I25" s="22"/>
      <c r="J25" s="22"/>
      <c r="K25" s="22"/>
      <c r="L25" s="22"/>
      <c r="M25" s="22"/>
    </row>
    <row r="26" spans="2:13">
      <c r="B26">
        <v>88.5</v>
      </c>
      <c r="C26">
        <v>86.53</v>
      </c>
      <c r="D26" s="7">
        <f t="shared" si="0"/>
        <v>87.515000000000001</v>
      </c>
      <c r="E26" s="23">
        <v>0.76323620729198705</v>
      </c>
      <c r="F26" s="25">
        <v>-1.2378372929999999</v>
      </c>
      <c r="G26" s="22"/>
      <c r="H26" s="22"/>
      <c r="I26" s="22"/>
      <c r="J26" s="22"/>
      <c r="K26" s="22"/>
      <c r="L26" s="22"/>
      <c r="M26" s="22"/>
    </row>
    <row r="27" spans="2:13">
      <c r="B27">
        <v>88.25</v>
      </c>
      <c r="C27">
        <v>84.625</v>
      </c>
      <c r="D27" s="7">
        <f t="shared" si="0"/>
        <v>86.4375</v>
      </c>
      <c r="E27" s="23">
        <v>0.651653375608372</v>
      </c>
      <c r="F27" s="25">
        <v>-0.89742042224999397</v>
      </c>
      <c r="G27" s="22"/>
      <c r="H27" s="22"/>
      <c r="I27" s="22"/>
      <c r="J27" s="22"/>
      <c r="K27" s="22"/>
      <c r="L27" s="22"/>
      <c r="M27" s="22"/>
    </row>
    <row r="28" spans="2:13" ht="13.8" thickBot="1">
      <c r="B28">
        <v>85.5</v>
      </c>
      <c r="C28">
        <v>82.28</v>
      </c>
      <c r="D28" s="7">
        <f t="shared" si="0"/>
        <v>83.89</v>
      </c>
      <c r="E28" s="23">
        <v>0.48132057822644198</v>
      </c>
      <c r="F28" s="26">
        <v>-0.4237451955</v>
      </c>
      <c r="G28" s="22"/>
      <c r="H28" s="22"/>
      <c r="I28" s="22"/>
      <c r="J28" s="22"/>
      <c r="K28" s="22"/>
      <c r="L28" s="22"/>
      <c r="M28" s="22"/>
    </row>
    <row r="29" spans="2:13">
      <c r="B29">
        <v>84.44</v>
      </c>
      <c r="C29">
        <v>81.564999999999998</v>
      </c>
      <c r="D29" s="7">
        <f t="shared" si="0"/>
        <v>83.002499999999998</v>
      </c>
      <c r="E29" s="23">
        <v>-0.29985088879070498</v>
      </c>
      <c r="F29" s="27">
        <v>-0.19057304475002701</v>
      </c>
      <c r="G29" s="22"/>
      <c r="H29" s="22"/>
      <c r="I29" s="22"/>
      <c r="J29" s="22"/>
      <c r="K29" s="22"/>
      <c r="L29" s="37"/>
      <c r="M29" s="22"/>
    </row>
    <row r="30" spans="2:13">
      <c r="B30" s="14">
        <v>84.75</v>
      </c>
      <c r="C30" s="14">
        <v>80.875</v>
      </c>
      <c r="D30" s="18">
        <f t="shared" si="0"/>
        <v>82.8125</v>
      </c>
      <c r="E30" s="24">
        <v>-1.1841504298844401</v>
      </c>
      <c r="F30" s="27">
        <v>-0.67440537449999804</v>
      </c>
      <c r="G30" s="39">
        <f t="shared" ref="G30:G61" si="1">IF(F30&lt;&gt;0,DEGREES(ATAN(E30/F30)),0)</f>
        <v>60.337328808123623</v>
      </c>
      <c r="H30" s="39">
        <f>IF( (G29-G30) &lt; 1, 1, (G29-G30))</f>
        <v>1</v>
      </c>
      <c r="I30" s="39">
        <f>$B$1/H30</f>
        <v>0.5</v>
      </c>
      <c r="J30" s="39">
        <f>IF(I30 &lt; $C$1, $C$1, I30 )</f>
        <v>0.5</v>
      </c>
      <c r="K30" s="39">
        <f>IF(J30 &gt; $B$1, $B$1, J30 )</f>
        <v>0.5</v>
      </c>
      <c r="L30" s="40">
        <v>82.8125</v>
      </c>
      <c r="M30" s="40">
        <v>82.8125</v>
      </c>
    </row>
    <row r="31" spans="2:13">
      <c r="B31">
        <v>84.44</v>
      </c>
      <c r="C31">
        <v>81.25</v>
      </c>
      <c r="D31" s="7">
        <f t="shared" si="0"/>
        <v>82.844999999999999</v>
      </c>
      <c r="E31" s="23">
        <v>-1.6740420132135101</v>
      </c>
      <c r="F31" s="25">
        <v>-1.4149942042499899</v>
      </c>
      <c r="G31" s="34">
        <f t="shared" si="1"/>
        <v>49.793630737674533</v>
      </c>
      <c r="H31" s="34">
        <f>IF( (G30-G31) &lt; 1, 1, (G30-G31))</f>
        <v>10.543698070449089</v>
      </c>
      <c r="I31" s="34">
        <f t="shared" ref="I31:I94" si="2">$B$1/H31</f>
        <v>4.7421691768787862E-2</v>
      </c>
      <c r="J31" s="34">
        <f t="shared" ref="J31:J94" si="3">IF(I31 &lt; $C$1, $C$1, I31 )</f>
        <v>0.05</v>
      </c>
      <c r="K31" s="34">
        <f t="shared" ref="K31:K94" si="4">IF(J31 &gt; $B$1, $B$1, J31 )</f>
        <v>0.05</v>
      </c>
      <c r="L31" s="38">
        <f>K31*D31 + (1-K31)*L30</f>
        <v>82.814125000000004</v>
      </c>
      <c r="M31" s="38">
        <f t="shared" ref="M31:M94" si="5">0.5*K31*L31+(1-0.5*K31)*M30</f>
        <v>82.812540624999997</v>
      </c>
    </row>
    <row r="32" spans="2:13">
      <c r="B32">
        <v>89.405000000000001</v>
      </c>
      <c r="C32">
        <v>84.064999999999998</v>
      </c>
      <c r="D32" s="7">
        <f t="shared" si="0"/>
        <v>86.734999999999999</v>
      </c>
      <c r="E32" s="23">
        <v>-1.78193436002126</v>
      </c>
      <c r="F32" s="25">
        <v>-2.3000514063749899</v>
      </c>
      <c r="G32" s="34">
        <f t="shared" si="1"/>
        <v>37.766259973603702</v>
      </c>
      <c r="H32" s="34">
        <f t="shared" ref="H32:H81" si="6">IF( (G31-G32) &lt; 1, 1, (G31-G32))</f>
        <v>12.027370764070831</v>
      </c>
      <c r="I32" s="34">
        <f t="shared" si="2"/>
        <v>4.1571845568579451E-2</v>
      </c>
      <c r="J32" s="34">
        <f t="shared" si="3"/>
        <v>0.05</v>
      </c>
      <c r="K32" s="34">
        <f t="shared" si="4"/>
        <v>0.05</v>
      </c>
      <c r="L32" s="38">
        <f t="shared" ref="L32:L94" si="7">K32*D32 + (1-K32)*L31</f>
        <v>83.010168749999991</v>
      </c>
      <c r="M32" s="38">
        <f t="shared" si="5"/>
        <v>82.817481328124998</v>
      </c>
    </row>
    <row r="33" spans="2:15">
      <c r="B33">
        <v>88.125</v>
      </c>
      <c r="C33">
        <v>85.594999999999999</v>
      </c>
      <c r="D33" s="7">
        <f t="shared" si="0"/>
        <v>86.86</v>
      </c>
      <c r="E33" s="23">
        <v>-1.1911037404918701</v>
      </c>
      <c r="F33" s="25">
        <v>-3.1525722770625002</v>
      </c>
      <c r="G33" s="34">
        <f t="shared" si="1"/>
        <v>20.697549958190631</v>
      </c>
      <c r="H33" s="34">
        <f t="shared" si="6"/>
        <v>17.068710015413071</v>
      </c>
      <c r="I33" s="34">
        <f t="shared" si="2"/>
        <v>2.9293367779316612E-2</v>
      </c>
      <c r="J33" s="34">
        <f t="shared" si="3"/>
        <v>0.05</v>
      </c>
      <c r="K33" s="34">
        <f t="shared" si="4"/>
        <v>0.05</v>
      </c>
      <c r="L33" s="38">
        <f t="shared" si="7"/>
        <v>83.202660312499987</v>
      </c>
      <c r="M33" s="38">
        <f t="shared" si="5"/>
        <v>82.827110802734381</v>
      </c>
    </row>
    <row r="34" spans="2:15">
      <c r="B34" s="14">
        <v>89.125</v>
      </c>
      <c r="C34" s="14">
        <v>85.97</v>
      </c>
      <c r="D34" s="18">
        <f t="shared" si="0"/>
        <v>87.547499999999999</v>
      </c>
      <c r="E34" s="24">
        <v>0.85684050773138198</v>
      </c>
      <c r="F34" s="25">
        <v>-3.5009449465500002</v>
      </c>
      <c r="G34" s="34">
        <f t="shared" si="1"/>
        <v>-13.752543597317164</v>
      </c>
      <c r="H34" s="34">
        <f t="shared" si="6"/>
        <v>34.450093555507792</v>
      </c>
      <c r="I34" s="34">
        <f t="shared" si="2"/>
        <v>1.451374868385695E-2</v>
      </c>
      <c r="J34" s="34">
        <f t="shared" si="3"/>
        <v>0.05</v>
      </c>
      <c r="K34" s="34">
        <f t="shared" si="4"/>
        <v>0.05</v>
      </c>
      <c r="L34" s="38">
        <f t="shared" si="7"/>
        <v>83.41990229687498</v>
      </c>
      <c r="M34" s="38">
        <f t="shared" si="5"/>
        <v>82.841930590087898</v>
      </c>
    </row>
    <row r="35" spans="2:15" ht="13.8" thickBot="1">
      <c r="B35" s="14">
        <v>87.155000000000001</v>
      </c>
      <c r="C35" s="14">
        <v>84.405000000000001</v>
      </c>
      <c r="D35" s="18">
        <f t="shared" si="0"/>
        <v>85.78</v>
      </c>
      <c r="E35" s="24">
        <v>2.8170057931966599</v>
      </c>
      <c r="F35" s="25">
        <v>-2.6479594711350098</v>
      </c>
      <c r="G35" s="35">
        <f t="shared" si="1"/>
        <v>-46.771750215514842</v>
      </c>
      <c r="H35" s="34">
        <f t="shared" si="6"/>
        <v>33.019206618197678</v>
      </c>
      <c r="I35" s="34">
        <f t="shared" si="2"/>
        <v>1.5142701815386381E-2</v>
      </c>
      <c r="J35" s="34">
        <f t="shared" si="3"/>
        <v>0.05</v>
      </c>
      <c r="K35" s="34">
        <f t="shared" si="4"/>
        <v>0.05</v>
      </c>
      <c r="L35" s="38">
        <f t="shared" si="7"/>
        <v>83.537907182031233</v>
      </c>
      <c r="M35" s="38">
        <f t="shared" si="5"/>
        <v>82.859330004886488</v>
      </c>
    </row>
    <row r="36" spans="2:15" ht="13.8" thickBot="1">
      <c r="B36">
        <v>87.25</v>
      </c>
      <c r="C36">
        <v>85.094999999999999</v>
      </c>
      <c r="D36" s="7">
        <f t="shared" si="0"/>
        <v>86.172499999999999</v>
      </c>
      <c r="E36" s="23">
        <v>5.0357740139859297</v>
      </c>
      <c r="F36" s="25">
        <v>-1.5744701212667001</v>
      </c>
      <c r="G36" s="36">
        <f t="shared" si="1"/>
        <v>-72.637779299046571</v>
      </c>
      <c r="H36" s="35">
        <f t="shared" si="6"/>
        <v>25.866029083531728</v>
      </c>
      <c r="I36" s="34">
        <f t="shared" si="2"/>
        <v>1.933037337835276E-2</v>
      </c>
      <c r="J36" s="34">
        <f t="shared" si="3"/>
        <v>0.05</v>
      </c>
      <c r="K36" s="34">
        <f t="shared" si="4"/>
        <v>0.05</v>
      </c>
      <c r="L36" s="38">
        <f t="shared" si="7"/>
        <v>83.669636822929675</v>
      </c>
      <c r="M36" s="38">
        <f t="shared" si="5"/>
        <v>82.879587675337561</v>
      </c>
    </row>
    <row r="37" spans="2:15">
      <c r="B37" s="14">
        <v>87.375</v>
      </c>
      <c r="C37" s="14">
        <v>85.5</v>
      </c>
      <c r="D37" s="18">
        <f t="shared" si="0"/>
        <v>86.4375</v>
      </c>
      <c r="E37" s="24">
        <v>6.2757821900681998</v>
      </c>
      <c r="F37" s="25">
        <v>1.03299605188037</v>
      </c>
      <c r="G37" s="34">
        <f t="shared" si="1"/>
        <v>80.652906759084402</v>
      </c>
      <c r="H37" s="34">
        <f t="shared" si="6"/>
        <v>1</v>
      </c>
      <c r="I37" s="34">
        <f t="shared" si="2"/>
        <v>0.5</v>
      </c>
      <c r="J37" s="34">
        <f t="shared" si="3"/>
        <v>0.5</v>
      </c>
      <c r="K37" s="34">
        <f t="shared" si="4"/>
        <v>0.5</v>
      </c>
      <c r="L37" s="38">
        <f t="shared" si="7"/>
        <v>85.053568411464838</v>
      </c>
      <c r="M37" s="38">
        <f t="shared" si="5"/>
        <v>83.423082859369373</v>
      </c>
      <c r="N37" s="6"/>
      <c r="O37" s="6"/>
    </row>
    <row r="38" spans="2:15">
      <c r="B38">
        <v>88.97</v>
      </c>
      <c r="C38">
        <v>85.53</v>
      </c>
      <c r="D38" s="7">
        <f t="shared" si="0"/>
        <v>87.25</v>
      </c>
      <c r="E38" s="23">
        <v>2.78590434940357</v>
      </c>
      <c r="F38" s="25">
        <v>3.0169901262758101</v>
      </c>
      <c r="G38" s="11">
        <f t="shared" si="1"/>
        <v>42.719543669592007</v>
      </c>
      <c r="H38" s="11">
        <f t="shared" si="6"/>
        <v>37.933363089492396</v>
      </c>
      <c r="I38" s="34">
        <f t="shared" si="2"/>
        <v>1.3181008992543054E-2</v>
      </c>
      <c r="J38" s="34">
        <f t="shared" si="3"/>
        <v>0.05</v>
      </c>
      <c r="K38" s="34">
        <f t="shared" si="4"/>
        <v>0.05</v>
      </c>
      <c r="L38" s="38">
        <f t="shared" si="7"/>
        <v>85.163389990891588</v>
      </c>
      <c r="M38" s="38">
        <f t="shared" si="5"/>
        <v>83.466590537657424</v>
      </c>
      <c r="N38" s="6"/>
      <c r="O38" s="6"/>
    </row>
    <row r="39" spans="2:15">
      <c r="B39">
        <v>90</v>
      </c>
      <c r="C39">
        <v>87.875</v>
      </c>
      <c r="D39" s="7">
        <f t="shared" si="0"/>
        <v>88.9375</v>
      </c>
      <c r="E39" s="23">
        <v>-1.1213698512774799</v>
      </c>
      <c r="F39" s="25">
        <v>2.9866982004932501</v>
      </c>
      <c r="G39" s="11">
        <f t="shared" si="1"/>
        <v>-20.578881826713701</v>
      </c>
      <c r="H39" s="11">
        <f t="shared" si="6"/>
        <v>63.298425496305711</v>
      </c>
      <c r="I39" s="34">
        <f t="shared" si="2"/>
        <v>7.8990906342398907E-3</v>
      </c>
      <c r="J39" s="34">
        <f t="shared" si="3"/>
        <v>0.05</v>
      </c>
      <c r="K39" s="34">
        <f t="shared" si="4"/>
        <v>0.05</v>
      </c>
      <c r="L39" s="38">
        <f t="shared" si="7"/>
        <v>85.352095491347015</v>
      </c>
      <c r="M39" s="38">
        <f t="shared" si="5"/>
        <v>83.513728161499671</v>
      </c>
      <c r="N39" s="6"/>
      <c r="O39" s="6"/>
    </row>
    <row r="40" spans="2:15">
      <c r="B40">
        <v>89.844999999999999</v>
      </c>
      <c r="C40">
        <v>86.564999999999998</v>
      </c>
      <c r="D40" s="7">
        <f t="shared" si="0"/>
        <v>88.204999999999998</v>
      </c>
      <c r="E40" s="23">
        <v>-3.7296462245164799</v>
      </c>
      <c r="F40" s="25">
        <v>1.7977109018758</v>
      </c>
      <c r="G40" s="11">
        <f t="shared" si="1"/>
        <v>-64.265666241464857</v>
      </c>
      <c r="H40" s="11">
        <f t="shared" si="6"/>
        <v>43.686784414751159</v>
      </c>
      <c r="I40" s="34">
        <f t="shared" si="2"/>
        <v>1.1445108782855883E-2</v>
      </c>
      <c r="J40" s="34">
        <f t="shared" si="3"/>
        <v>0.05</v>
      </c>
      <c r="K40" s="34">
        <f t="shared" si="4"/>
        <v>0.05</v>
      </c>
      <c r="L40" s="38">
        <f t="shared" si="7"/>
        <v>85.49474071677966</v>
      </c>
      <c r="M40" s="38">
        <f t="shared" si="5"/>
        <v>83.563253475381671</v>
      </c>
      <c r="N40" s="6"/>
      <c r="O40" s="6"/>
    </row>
    <row r="41" spans="2:15">
      <c r="B41">
        <v>86.97</v>
      </c>
      <c r="C41">
        <v>84.655000000000001</v>
      </c>
      <c r="D41" s="7">
        <f t="shared" si="0"/>
        <v>85.8125</v>
      </c>
      <c r="E41" s="23">
        <v>-2.4289641092740601</v>
      </c>
      <c r="F41" s="25">
        <v>7.2264038918778098E-2</v>
      </c>
      <c r="G41" s="11">
        <f t="shared" si="1"/>
        <v>-88.295897628948097</v>
      </c>
      <c r="H41" s="11">
        <f t="shared" si="6"/>
        <v>24.030231387483241</v>
      </c>
      <c r="I41" s="34">
        <f t="shared" si="2"/>
        <v>2.0807123824052639E-2</v>
      </c>
      <c r="J41" s="34">
        <f t="shared" si="3"/>
        <v>0.05</v>
      </c>
      <c r="K41" s="34">
        <f t="shared" si="4"/>
        <v>0.05</v>
      </c>
      <c r="L41" s="38">
        <f t="shared" si="7"/>
        <v>85.510628680940684</v>
      </c>
      <c r="M41" s="38">
        <f t="shared" si="5"/>
        <v>83.611937855520637</v>
      </c>
      <c r="N41" s="6"/>
      <c r="O41" s="6"/>
    </row>
    <row r="42" spans="2:15">
      <c r="B42">
        <v>85.94</v>
      </c>
      <c r="C42">
        <v>83.25</v>
      </c>
      <c r="D42" s="7">
        <f t="shared" si="0"/>
        <v>84.594999999999999</v>
      </c>
      <c r="E42" s="23">
        <v>0.35286855581180898</v>
      </c>
      <c r="F42" s="25">
        <v>6.6317505394635407E-2</v>
      </c>
      <c r="G42" s="11">
        <f t="shared" si="1"/>
        <v>79.356088538594491</v>
      </c>
      <c r="H42" s="11">
        <f t="shared" si="6"/>
        <v>1</v>
      </c>
      <c r="I42" s="34">
        <f t="shared" si="2"/>
        <v>0.5</v>
      </c>
      <c r="J42" s="34">
        <f t="shared" si="3"/>
        <v>0.5</v>
      </c>
      <c r="K42" s="34">
        <f t="shared" si="4"/>
        <v>0.5</v>
      </c>
      <c r="L42" s="38">
        <f t="shared" si="7"/>
        <v>85.052814340470348</v>
      </c>
      <c r="M42" s="38">
        <f t="shared" si="5"/>
        <v>83.972156976758072</v>
      </c>
      <c r="N42" s="6"/>
      <c r="O42" s="6"/>
    </row>
    <row r="43" spans="2:15">
      <c r="B43">
        <v>84.75</v>
      </c>
      <c r="C43">
        <v>82.564999999999998</v>
      </c>
      <c r="D43" s="7">
        <f t="shared" si="0"/>
        <v>83.657499999999999</v>
      </c>
      <c r="E43" s="23">
        <v>1.5241327603456001</v>
      </c>
      <c r="F43" s="25">
        <v>0.58663362047388001</v>
      </c>
      <c r="G43" s="11">
        <f t="shared" si="1"/>
        <v>68.94845081517569</v>
      </c>
      <c r="H43" s="11">
        <f t="shared" si="6"/>
        <v>10.407637723418802</v>
      </c>
      <c r="I43" s="34">
        <f t="shared" si="2"/>
        <v>4.8041641464414385E-2</v>
      </c>
      <c r="J43" s="34">
        <f t="shared" si="3"/>
        <v>0.05</v>
      </c>
      <c r="K43" s="34">
        <f t="shared" si="4"/>
        <v>0.05</v>
      </c>
      <c r="L43" s="38">
        <f t="shared" si="7"/>
        <v>84.98304862344682</v>
      </c>
      <c r="M43" s="38">
        <f t="shared" si="5"/>
        <v>83.997429267925298</v>
      </c>
      <c r="N43" s="6"/>
      <c r="O43" s="6"/>
    </row>
    <row r="44" spans="2:15">
      <c r="B44">
        <v>85.47</v>
      </c>
      <c r="C44">
        <v>83.44</v>
      </c>
      <c r="D44" s="7">
        <f t="shared" si="0"/>
        <v>84.454999999999998</v>
      </c>
      <c r="E44" s="23">
        <v>0.69860635347327305</v>
      </c>
      <c r="F44" s="25">
        <v>1.7951497126587801</v>
      </c>
      <c r="G44" s="11">
        <f t="shared" si="1"/>
        <v>21.264160497959043</v>
      </c>
      <c r="H44" s="11">
        <f t="shared" si="6"/>
        <v>47.68429031721665</v>
      </c>
      <c r="I44" s="34">
        <f t="shared" si="2"/>
        <v>1.0485633668316806E-2</v>
      </c>
      <c r="J44" s="34">
        <f t="shared" si="3"/>
        <v>0.05</v>
      </c>
      <c r="K44" s="34">
        <f t="shared" si="4"/>
        <v>0.05</v>
      </c>
      <c r="L44" s="38">
        <f t="shared" si="7"/>
        <v>84.956646192274476</v>
      </c>
      <c r="M44" s="38">
        <f t="shared" si="5"/>
        <v>84.021409691034023</v>
      </c>
      <c r="N44" s="6"/>
      <c r="O44" s="6"/>
    </row>
    <row r="45" spans="2:15">
      <c r="B45">
        <v>84.47</v>
      </c>
      <c r="C45">
        <v>82.53</v>
      </c>
      <c r="D45" s="7">
        <f t="shared" si="0"/>
        <v>83.5</v>
      </c>
      <c r="E45" s="23">
        <v>-3.54278707768071</v>
      </c>
      <c r="F45" s="25">
        <v>1.6520660975016901</v>
      </c>
      <c r="G45" s="11">
        <f t="shared" si="1"/>
        <v>-64.999503818323305</v>
      </c>
      <c r="H45" s="11">
        <f t="shared" si="6"/>
        <v>86.263664316282345</v>
      </c>
      <c r="I45" s="34">
        <f t="shared" si="2"/>
        <v>5.796183178200842E-3</v>
      </c>
      <c r="J45" s="34">
        <f t="shared" si="3"/>
        <v>0.05</v>
      </c>
      <c r="K45" s="34">
        <f t="shared" si="4"/>
        <v>0.05</v>
      </c>
      <c r="L45" s="38">
        <f t="shared" si="7"/>
        <v>84.883813882660746</v>
      </c>
      <c r="M45" s="38">
        <f t="shared" si="5"/>
        <v>84.042969795824689</v>
      </c>
      <c r="N45" s="6"/>
      <c r="O45" s="6"/>
    </row>
    <row r="46" spans="2:15">
      <c r="B46">
        <v>88.5</v>
      </c>
      <c r="C46">
        <v>85.064999999999998</v>
      </c>
      <c r="D46" s="7">
        <f t="shared" si="0"/>
        <v>86.782499999999999</v>
      </c>
      <c r="E46" s="23">
        <v>-5.4839343884751797</v>
      </c>
      <c r="F46" s="25">
        <v>-0.706793105275344</v>
      </c>
      <c r="G46" s="11">
        <f t="shared" si="1"/>
        <v>82.655958717759717</v>
      </c>
      <c r="H46" s="11">
        <f t="shared" si="6"/>
        <v>1</v>
      </c>
      <c r="I46" s="34">
        <f t="shared" si="2"/>
        <v>0.5</v>
      </c>
      <c r="J46" s="34">
        <f t="shared" si="3"/>
        <v>0.5</v>
      </c>
      <c r="K46" s="34">
        <f t="shared" si="4"/>
        <v>0.5</v>
      </c>
      <c r="L46" s="38">
        <f t="shared" si="7"/>
        <v>85.833156941330373</v>
      </c>
      <c r="M46" s="38">
        <f t="shared" si="5"/>
        <v>84.49051658220111</v>
      </c>
      <c r="N46" s="6"/>
      <c r="O46" s="6"/>
    </row>
    <row r="47" spans="2:15">
      <c r="B47">
        <v>89.47</v>
      </c>
      <c r="C47">
        <v>86.875</v>
      </c>
      <c r="D47" s="7">
        <f t="shared" si="0"/>
        <v>88.172499999999999</v>
      </c>
      <c r="E47" s="23">
        <v>-3.7444629224666302</v>
      </c>
      <c r="F47" s="25">
        <v>-2.6440308672041701</v>
      </c>
      <c r="G47" s="11">
        <f t="shared" si="1"/>
        <v>54.773414990057177</v>
      </c>
      <c r="H47" s="11">
        <f t="shared" si="6"/>
        <v>27.88254372770254</v>
      </c>
      <c r="I47" s="34">
        <f t="shared" si="2"/>
        <v>1.7932366748275835E-2</v>
      </c>
      <c r="J47" s="34">
        <f t="shared" si="3"/>
        <v>0.05</v>
      </c>
      <c r="K47" s="34">
        <f t="shared" si="4"/>
        <v>0.05</v>
      </c>
      <c r="L47" s="38">
        <f t="shared" si="7"/>
        <v>85.950124094263856</v>
      </c>
      <c r="M47" s="38">
        <f t="shared" si="5"/>
        <v>84.527006770002671</v>
      </c>
      <c r="N47" s="6"/>
      <c r="O47" s="6"/>
    </row>
    <row r="48" spans="2:15">
      <c r="B48">
        <v>90</v>
      </c>
      <c r="C48">
        <v>88.53</v>
      </c>
      <c r="D48" s="7">
        <f t="shared" si="0"/>
        <v>89.265000000000001</v>
      </c>
      <c r="E48" s="23">
        <v>-8.4547974989631E-3</v>
      </c>
      <c r="F48" s="25">
        <v>-3.5353609110922402</v>
      </c>
      <c r="G48" s="11">
        <f t="shared" si="1"/>
        <v>0.13702230182429354</v>
      </c>
      <c r="H48" s="11">
        <f t="shared" si="6"/>
        <v>54.636392688232881</v>
      </c>
      <c r="I48" s="34">
        <f t="shared" si="2"/>
        <v>9.1514094433925858E-3</v>
      </c>
      <c r="J48" s="34">
        <f t="shared" si="3"/>
        <v>0.05</v>
      </c>
      <c r="K48" s="34">
        <f t="shared" si="4"/>
        <v>0.05</v>
      </c>
      <c r="L48" s="38">
        <f t="shared" si="7"/>
        <v>86.115867889550657</v>
      </c>
      <c r="M48" s="38">
        <f t="shared" si="5"/>
        <v>84.566728297991375</v>
      </c>
      <c r="N48" s="6"/>
      <c r="O48" s="6"/>
    </row>
    <row r="49" spans="2:15">
      <c r="B49">
        <v>92.44</v>
      </c>
      <c r="C49">
        <v>89.28</v>
      </c>
      <c r="D49" s="7">
        <f t="shared" si="0"/>
        <v>90.86</v>
      </c>
      <c r="E49" s="23">
        <v>3.7362977190453299</v>
      </c>
      <c r="F49" s="25">
        <v>-2.5527152782709499</v>
      </c>
      <c r="G49" s="11">
        <f t="shared" si="1"/>
        <v>-55.658309002720287</v>
      </c>
      <c r="H49" s="11">
        <f t="shared" si="6"/>
        <v>55.795331304544582</v>
      </c>
      <c r="I49" s="34">
        <f t="shared" si="2"/>
        <v>8.9613232560781398E-3</v>
      </c>
      <c r="J49" s="34">
        <f t="shared" si="3"/>
        <v>0.05</v>
      </c>
      <c r="K49" s="34">
        <f t="shared" si="4"/>
        <v>0.05</v>
      </c>
      <c r="L49" s="38">
        <f t="shared" si="7"/>
        <v>86.35307449507313</v>
      </c>
      <c r="M49" s="38">
        <f t="shared" si="5"/>
        <v>84.611386952918423</v>
      </c>
      <c r="N49" s="6"/>
      <c r="O49" s="6"/>
    </row>
    <row r="50" spans="2:15">
      <c r="B50">
        <v>91.44</v>
      </c>
      <c r="C50">
        <v>90.125</v>
      </c>
      <c r="D50" s="7">
        <f t="shared" si="0"/>
        <v>90.782499999999999</v>
      </c>
      <c r="E50" s="23">
        <v>5.8839241939620797</v>
      </c>
      <c r="F50" s="25">
        <v>-1.1704091227270601</v>
      </c>
      <c r="G50" s="11">
        <f t="shared" si="1"/>
        <v>-78.74977676597922</v>
      </c>
      <c r="H50" s="11">
        <f t="shared" si="6"/>
        <v>23.091467763258933</v>
      </c>
      <c r="I50" s="34">
        <f t="shared" si="2"/>
        <v>2.1653019423717838E-2</v>
      </c>
      <c r="J50" s="34">
        <f t="shared" si="3"/>
        <v>0.05</v>
      </c>
      <c r="K50" s="34">
        <f t="shared" si="4"/>
        <v>0.05</v>
      </c>
      <c r="L50" s="38">
        <f t="shared" si="7"/>
        <v>86.574545770319475</v>
      </c>
      <c r="M50" s="38">
        <f t="shared" si="5"/>
        <v>84.660465923353456</v>
      </c>
      <c r="N50" s="6"/>
      <c r="O50" s="6"/>
    </row>
    <row r="51" spans="2:15">
      <c r="B51">
        <v>92.97</v>
      </c>
      <c r="C51">
        <v>90.75</v>
      </c>
      <c r="D51" s="7">
        <f t="shared" si="0"/>
        <v>91.86</v>
      </c>
      <c r="E51" s="23">
        <v>7.6451203678983202</v>
      </c>
      <c r="F51" s="25">
        <v>1.05988741309776</v>
      </c>
      <c r="G51" s="11">
        <f t="shared" si="1"/>
        <v>82.107064025851372</v>
      </c>
      <c r="H51" s="11">
        <f t="shared" si="6"/>
        <v>1</v>
      </c>
      <c r="I51" s="34">
        <f t="shared" si="2"/>
        <v>0.5</v>
      </c>
      <c r="J51" s="34">
        <f t="shared" si="3"/>
        <v>0.5</v>
      </c>
      <c r="K51" s="34">
        <f t="shared" si="4"/>
        <v>0.5</v>
      </c>
      <c r="L51" s="38">
        <f t="shared" si="7"/>
        <v>89.21727288515973</v>
      </c>
      <c r="M51" s="38">
        <f t="shared" si="5"/>
        <v>85.799667663805025</v>
      </c>
      <c r="N51" s="6"/>
      <c r="O51" s="6"/>
    </row>
    <row r="52" spans="2:15">
      <c r="B52">
        <v>91.72</v>
      </c>
      <c r="C52">
        <v>89</v>
      </c>
      <c r="D52" s="7">
        <f t="shared" si="0"/>
        <v>90.36</v>
      </c>
      <c r="E52" s="23">
        <v>5.2038116920874398</v>
      </c>
      <c r="F52" s="25">
        <v>3.9200772782999498</v>
      </c>
      <c r="G52" s="11">
        <f t="shared" si="1"/>
        <v>53.008962591253308</v>
      </c>
      <c r="H52" s="11">
        <f t="shared" si="6"/>
        <v>29.098101434598064</v>
      </c>
      <c r="I52" s="34">
        <f t="shared" si="2"/>
        <v>1.7183251667598244E-2</v>
      </c>
      <c r="J52" s="34">
        <f t="shared" si="3"/>
        <v>0.05</v>
      </c>
      <c r="K52" s="34">
        <f t="shared" si="4"/>
        <v>0.05</v>
      </c>
      <c r="L52" s="38">
        <f t="shared" si="7"/>
        <v>89.274409240901747</v>
      </c>
      <c r="M52" s="38">
        <f t="shared" si="5"/>
        <v>85.886536203232438</v>
      </c>
      <c r="N52" s="6"/>
      <c r="O52" s="6"/>
    </row>
    <row r="53" spans="2:15">
      <c r="B53">
        <v>91.155000000000001</v>
      </c>
      <c r="C53">
        <v>88.564999999999998</v>
      </c>
      <c r="D53" s="7">
        <f t="shared" si="0"/>
        <v>89.86</v>
      </c>
      <c r="E53" s="23">
        <v>1.72606488335266</v>
      </c>
      <c r="F53" s="25">
        <v>4.6560200656612496</v>
      </c>
      <c r="G53" s="11">
        <f t="shared" si="1"/>
        <v>20.340589748745177</v>
      </c>
      <c r="H53" s="11">
        <f t="shared" si="6"/>
        <v>32.668372842508134</v>
      </c>
      <c r="I53" s="34">
        <f t="shared" si="2"/>
        <v>1.5305323053904885E-2</v>
      </c>
      <c r="J53" s="34">
        <f t="shared" si="3"/>
        <v>0.05</v>
      </c>
      <c r="K53" s="34">
        <f t="shared" si="4"/>
        <v>0.05</v>
      </c>
      <c r="L53" s="38">
        <f t="shared" si="7"/>
        <v>89.303688778856653</v>
      </c>
      <c r="M53" s="38">
        <f t="shared" si="5"/>
        <v>85.971965017623035</v>
      </c>
      <c r="N53" s="6"/>
      <c r="O53" s="6"/>
    </row>
    <row r="54" spans="2:15">
      <c r="B54">
        <v>91.75</v>
      </c>
      <c r="C54">
        <v>90.094999999999999</v>
      </c>
      <c r="D54" s="7">
        <f t="shared" si="0"/>
        <v>90.922499999999999</v>
      </c>
      <c r="E54" s="23">
        <v>-0.91765091601934201</v>
      </c>
      <c r="F54" s="25">
        <v>4.9157151193899704</v>
      </c>
      <c r="G54" s="11">
        <f t="shared" si="1"/>
        <v>-10.574095140791469</v>
      </c>
      <c r="H54" s="11">
        <f t="shared" si="6"/>
        <v>30.914684889536645</v>
      </c>
      <c r="I54" s="34">
        <f t="shared" si="2"/>
        <v>1.6173543472514238E-2</v>
      </c>
      <c r="J54" s="34">
        <f t="shared" si="3"/>
        <v>0.05</v>
      </c>
      <c r="K54" s="34">
        <f t="shared" si="4"/>
        <v>0.05</v>
      </c>
      <c r="L54" s="38">
        <f t="shared" si="7"/>
        <v>89.384629339913815</v>
      </c>
      <c r="M54" s="38">
        <f t="shared" si="5"/>
        <v>86.057281625680304</v>
      </c>
      <c r="N54" s="6"/>
      <c r="O54" s="6"/>
    </row>
    <row r="55" spans="2:15">
      <c r="B55">
        <v>90</v>
      </c>
      <c r="C55">
        <v>89</v>
      </c>
      <c r="D55" s="7">
        <f t="shared" si="0"/>
        <v>89.5</v>
      </c>
      <c r="E55" s="23">
        <v>-3.3200985443723998</v>
      </c>
      <c r="F55" s="25">
        <v>3.76591185896309</v>
      </c>
      <c r="G55" s="11">
        <f t="shared" si="1"/>
        <v>-41.400005412941262</v>
      </c>
      <c r="H55" s="11">
        <f t="shared" si="6"/>
        <v>30.825910272149791</v>
      </c>
      <c r="I55" s="34">
        <f t="shared" si="2"/>
        <v>1.6220121176818376E-2</v>
      </c>
      <c r="J55" s="34">
        <f t="shared" si="3"/>
        <v>0.05</v>
      </c>
      <c r="K55" s="34">
        <f t="shared" si="4"/>
        <v>0.05</v>
      </c>
      <c r="L55" s="38">
        <f t="shared" si="7"/>
        <v>89.390397872918115</v>
      </c>
      <c r="M55" s="38">
        <f t="shared" si="5"/>
        <v>86.140609531861244</v>
      </c>
      <c r="N55" s="6"/>
      <c r="O55" s="6"/>
    </row>
    <row r="56" spans="2:15">
      <c r="B56">
        <v>88.875</v>
      </c>
      <c r="C56">
        <v>86.47</v>
      </c>
      <c r="D56" s="7">
        <f t="shared" si="0"/>
        <v>87.672499999999999</v>
      </c>
      <c r="E56" s="23">
        <v>-3.4624195870869099</v>
      </c>
      <c r="F56" s="25">
        <v>2.4900186350541702</v>
      </c>
      <c r="G56" s="11">
        <f t="shared" si="1"/>
        <v>-54.277986183026449</v>
      </c>
      <c r="H56" s="11">
        <f t="shared" si="6"/>
        <v>12.877980770085188</v>
      </c>
      <c r="I56" s="34">
        <f t="shared" si="2"/>
        <v>3.882596261996845E-2</v>
      </c>
      <c r="J56" s="34">
        <f t="shared" si="3"/>
        <v>0.05</v>
      </c>
      <c r="K56" s="34">
        <f t="shared" si="4"/>
        <v>0.05</v>
      </c>
      <c r="L56" s="38">
        <f t="shared" si="7"/>
        <v>89.3045029792722</v>
      </c>
      <c r="M56" s="38">
        <f t="shared" si="5"/>
        <v>86.219706868046515</v>
      </c>
      <c r="N56" s="6"/>
      <c r="O56" s="6"/>
    </row>
    <row r="57" spans="2:15">
      <c r="B57">
        <v>89</v>
      </c>
      <c r="C57">
        <v>84</v>
      </c>
      <c r="D57" s="7">
        <f t="shared" si="0"/>
        <v>86.5</v>
      </c>
      <c r="E57" s="23">
        <v>-3.90405509948644</v>
      </c>
      <c r="F57" s="25">
        <v>1.2326348427417</v>
      </c>
      <c r="G57" s="11">
        <f t="shared" si="1"/>
        <v>-72.477429828215534</v>
      </c>
      <c r="H57" s="11">
        <f t="shared" si="6"/>
        <v>18.199443645189085</v>
      </c>
      <c r="I57" s="34">
        <f t="shared" si="2"/>
        <v>2.7473367304399553E-2</v>
      </c>
      <c r="J57" s="34">
        <f t="shared" si="3"/>
        <v>0.05</v>
      </c>
      <c r="K57" s="34">
        <f t="shared" si="4"/>
        <v>0.05</v>
      </c>
      <c r="L57" s="38">
        <f t="shared" si="7"/>
        <v>89.164277830308592</v>
      </c>
      <c r="M57" s="38">
        <f t="shared" si="5"/>
        <v>86.293321142103068</v>
      </c>
      <c r="N57" s="6"/>
      <c r="O57" s="6"/>
    </row>
    <row r="58" spans="2:15">
      <c r="B58">
        <v>85.25</v>
      </c>
      <c r="C58">
        <v>83.314999999999998</v>
      </c>
      <c r="D58" s="7">
        <f t="shared" si="0"/>
        <v>84.282499999999999</v>
      </c>
      <c r="E58" s="23">
        <v>-2.7012372476722799</v>
      </c>
      <c r="F58" s="25">
        <v>-0.49033546352134999</v>
      </c>
      <c r="G58" s="11">
        <f t="shared" si="1"/>
        <v>79.711551010727945</v>
      </c>
      <c r="H58" s="11">
        <f t="shared" si="6"/>
        <v>1</v>
      </c>
      <c r="I58" s="34">
        <f t="shared" si="2"/>
        <v>0.5</v>
      </c>
      <c r="J58" s="34">
        <f t="shared" si="3"/>
        <v>0.5</v>
      </c>
      <c r="K58" s="34">
        <f t="shared" si="4"/>
        <v>0.5</v>
      </c>
      <c r="L58" s="38">
        <f t="shared" si="7"/>
        <v>86.723388915154288</v>
      </c>
      <c r="M58" s="38">
        <f t="shared" si="5"/>
        <v>86.400838085365876</v>
      </c>
      <c r="N58" s="6"/>
      <c r="O58" s="6"/>
    </row>
    <row r="59" spans="2:15">
      <c r="B59">
        <v>83.814999999999998</v>
      </c>
      <c r="C59">
        <v>82</v>
      </c>
      <c r="D59" s="7">
        <f t="shared" si="0"/>
        <v>82.907499999999999</v>
      </c>
      <c r="E59" s="23">
        <v>-1.3211098293529699</v>
      </c>
      <c r="F59" s="25">
        <v>-0.56114651019646999</v>
      </c>
      <c r="G59" s="11">
        <f t="shared" si="1"/>
        <v>66.986453841122383</v>
      </c>
      <c r="H59" s="11">
        <f t="shared" si="6"/>
        <v>12.725097169605561</v>
      </c>
      <c r="I59" s="34">
        <f t="shared" si="2"/>
        <v>3.9292430803143208E-2</v>
      </c>
      <c r="J59" s="34">
        <f t="shared" si="3"/>
        <v>0.05</v>
      </c>
      <c r="K59" s="34">
        <f t="shared" si="4"/>
        <v>0.05</v>
      </c>
      <c r="L59" s="38">
        <f t="shared" si="7"/>
        <v>86.532594469396571</v>
      </c>
      <c r="M59" s="38">
        <f t="shared" si="5"/>
        <v>86.404131994966647</v>
      </c>
      <c r="N59" s="6"/>
      <c r="O59" s="6"/>
    </row>
    <row r="60" spans="2:15">
      <c r="B60">
        <v>85.25</v>
      </c>
      <c r="C60">
        <v>83.25</v>
      </c>
      <c r="D60" s="7">
        <f t="shared" si="0"/>
        <v>84.25</v>
      </c>
      <c r="E60" s="23">
        <v>-2.4417061378785099</v>
      </c>
      <c r="F60" s="25">
        <v>-0.93583714283203701</v>
      </c>
      <c r="G60" s="11">
        <f t="shared" si="1"/>
        <v>69.029579806050094</v>
      </c>
      <c r="H60" s="11">
        <f t="shared" si="6"/>
        <v>1</v>
      </c>
      <c r="I60" s="34">
        <f t="shared" si="2"/>
        <v>0.5</v>
      </c>
      <c r="J60" s="34">
        <f t="shared" si="3"/>
        <v>0.5</v>
      </c>
      <c r="K60" s="34">
        <f t="shared" si="4"/>
        <v>0.5</v>
      </c>
      <c r="L60" s="38">
        <f t="shared" si="7"/>
        <v>85.391297234698285</v>
      </c>
      <c r="M60" s="38">
        <f t="shared" si="5"/>
        <v>86.150923304899564</v>
      </c>
      <c r="N60" s="6"/>
      <c r="O60" s="6"/>
    </row>
    <row r="61" spans="2:15">
      <c r="B61">
        <v>86.625</v>
      </c>
      <c r="C61">
        <v>84.75</v>
      </c>
      <c r="D61" s="7">
        <f t="shared" si="0"/>
        <v>85.6875</v>
      </c>
      <c r="E61" s="23">
        <v>-2.6860421931692402</v>
      </c>
      <c r="F61" s="25">
        <v>-2.2207364380055901</v>
      </c>
      <c r="G61" s="11">
        <f t="shared" si="1"/>
        <v>50.417112167767023</v>
      </c>
      <c r="H61" s="11">
        <f t="shared" si="6"/>
        <v>18.612467638283071</v>
      </c>
      <c r="I61" s="34">
        <f t="shared" si="2"/>
        <v>2.6863713598704909E-2</v>
      </c>
      <c r="J61" s="34">
        <f t="shared" si="3"/>
        <v>0.05</v>
      </c>
      <c r="K61" s="34">
        <f t="shared" si="4"/>
        <v>0.05</v>
      </c>
      <c r="L61" s="38">
        <f t="shared" si="7"/>
        <v>85.406107372963362</v>
      </c>
      <c r="M61" s="38">
        <f t="shared" si="5"/>
        <v>86.132302906601154</v>
      </c>
      <c r="N61" s="6"/>
      <c r="O61" s="6"/>
    </row>
    <row r="62" spans="2:15">
      <c r="B62">
        <v>87.94</v>
      </c>
      <c r="C62">
        <v>85.28</v>
      </c>
      <c r="D62" s="7">
        <f t="shared" si="0"/>
        <v>86.61</v>
      </c>
      <c r="E62" s="23">
        <v>-1.97671599438123</v>
      </c>
      <c r="F62" s="25">
        <v>-3.0695561834966498</v>
      </c>
      <c r="G62" s="11">
        <f t="shared" ref="G62:G93" si="8">IF(F62&lt;&gt;0,DEGREES(ATAN(E62/F62)),0)</f>
        <v>32.780503627004599</v>
      </c>
      <c r="H62" s="11">
        <f t="shared" si="6"/>
        <v>17.636608540762424</v>
      </c>
      <c r="I62" s="34">
        <f t="shared" si="2"/>
        <v>2.8350121784717301E-2</v>
      </c>
      <c r="J62" s="34">
        <f t="shared" si="3"/>
        <v>0.05</v>
      </c>
      <c r="K62" s="34">
        <f t="shared" si="4"/>
        <v>0.05</v>
      </c>
      <c r="L62" s="38">
        <f t="shared" si="7"/>
        <v>85.466302004315196</v>
      </c>
      <c r="M62" s="38">
        <f t="shared" si="5"/>
        <v>86.11565288404401</v>
      </c>
      <c r="N62" s="6"/>
      <c r="O62" s="6"/>
    </row>
    <row r="63" spans="2:15">
      <c r="B63">
        <v>89.375</v>
      </c>
      <c r="C63">
        <v>87.19</v>
      </c>
      <c r="D63" s="7">
        <f t="shared" si="0"/>
        <v>88.282499999999999</v>
      </c>
      <c r="E63" s="23">
        <v>-0.97343296809565305</v>
      </c>
      <c r="F63" s="25">
        <v>-3.9070266093399</v>
      </c>
      <c r="G63" s="11">
        <f t="shared" si="8"/>
        <v>13.990360243729487</v>
      </c>
      <c r="H63" s="11">
        <f t="shared" si="6"/>
        <v>18.790143383275112</v>
      </c>
      <c r="I63" s="34">
        <f t="shared" si="2"/>
        <v>2.6609695828348184E-2</v>
      </c>
      <c r="J63" s="34">
        <f t="shared" si="3"/>
        <v>0.05</v>
      </c>
      <c r="K63" s="34">
        <f t="shared" si="4"/>
        <v>0.05</v>
      </c>
      <c r="L63" s="38">
        <f t="shared" si="7"/>
        <v>85.607111904099426</v>
      </c>
      <c r="M63" s="38">
        <f t="shared" si="5"/>
        <v>86.102939359545402</v>
      </c>
      <c r="N63" s="6"/>
      <c r="O63" s="6"/>
    </row>
    <row r="64" spans="2:15">
      <c r="B64">
        <v>90.625</v>
      </c>
      <c r="C64">
        <v>88.44</v>
      </c>
      <c r="D64" s="7">
        <f t="shared" si="0"/>
        <v>89.532499999999999</v>
      </c>
      <c r="E64" s="23">
        <v>1.9604950887538799</v>
      </c>
      <c r="F64" s="25">
        <v>-4.1974174698144902</v>
      </c>
      <c r="G64" s="11">
        <f t="shared" si="8"/>
        <v>-25.035949083987141</v>
      </c>
      <c r="H64" s="11">
        <f t="shared" si="6"/>
        <v>39.026309327716632</v>
      </c>
      <c r="I64" s="34">
        <f t="shared" si="2"/>
        <v>1.2811869956785744E-2</v>
      </c>
      <c r="J64" s="34">
        <f t="shared" si="3"/>
        <v>0.05</v>
      </c>
      <c r="K64" s="34">
        <f t="shared" si="4"/>
        <v>0.05</v>
      </c>
      <c r="L64" s="38">
        <f t="shared" si="7"/>
        <v>85.803381308894444</v>
      </c>
      <c r="M64" s="38">
        <f t="shared" si="5"/>
        <v>86.095450408279135</v>
      </c>
      <c r="N64" s="6"/>
      <c r="O64" s="6"/>
    </row>
    <row r="65" spans="2:15">
      <c r="B65">
        <v>90.75</v>
      </c>
      <c r="C65">
        <v>88.25</v>
      </c>
      <c r="D65" s="7">
        <f t="shared" si="0"/>
        <v>89.5</v>
      </c>
      <c r="E65" s="23">
        <v>5.1566509229234603</v>
      </c>
      <c r="F65" s="25">
        <v>-2.60291265737315</v>
      </c>
      <c r="G65" s="11">
        <f t="shared" si="8"/>
        <v>-63.216814361143406</v>
      </c>
      <c r="H65" s="11">
        <f t="shared" si="6"/>
        <v>38.180865277156265</v>
      </c>
      <c r="I65" s="34">
        <f t="shared" si="2"/>
        <v>1.3095564921603587E-2</v>
      </c>
      <c r="J65" s="34">
        <f t="shared" si="3"/>
        <v>0.05</v>
      </c>
      <c r="K65" s="34">
        <f t="shared" si="4"/>
        <v>0.05</v>
      </c>
      <c r="L65" s="38">
        <f t="shared" si="7"/>
        <v>85.988212243449709</v>
      </c>
      <c r="M65" s="38">
        <f t="shared" si="5"/>
        <v>86.0927694541584</v>
      </c>
      <c r="N65" s="6"/>
      <c r="O65" s="6"/>
    </row>
    <row r="66" spans="2:15">
      <c r="B66">
        <v>88.844999999999999</v>
      </c>
      <c r="C66">
        <v>87.344999999999999</v>
      </c>
      <c r="D66" s="7">
        <f t="shared" si="0"/>
        <v>88.094999999999999</v>
      </c>
      <c r="E66" s="23">
        <v>5.6826155164007099</v>
      </c>
      <c r="F66" s="25">
        <v>-0.12543717596241399</v>
      </c>
      <c r="G66" s="11">
        <f t="shared" si="8"/>
        <v>-88.73546718161721</v>
      </c>
      <c r="H66" s="11">
        <f t="shared" si="6"/>
        <v>25.518652820473804</v>
      </c>
      <c r="I66" s="34">
        <f t="shared" si="2"/>
        <v>1.9593510814130684E-2</v>
      </c>
      <c r="J66" s="34">
        <f t="shared" si="3"/>
        <v>0.05</v>
      </c>
      <c r="K66" s="34">
        <f t="shared" si="4"/>
        <v>0.05</v>
      </c>
      <c r="L66" s="38">
        <f t="shared" si="7"/>
        <v>86.093551631277222</v>
      </c>
      <c r="M66" s="38">
        <f t="shared" si="5"/>
        <v>86.092789008586365</v>
      </c>
      <c r="N66" s="6"/>
      <c r="O66" s="6"/>
    </row>
    <row r="67" spans="2:15">
      <c r="B67">
        <v>91.97</v>
      </c>
      <c r="C67">
        <v>89.28</v>
      </c>
      <c r="D67" s="7">
        <f t="shared" si="0"/>
        <v>90.625</v>
      </c>
      <c r="E67" s="23">
        <v>4.4595775058005103</v>
      </c>
      <c r="F67" s="25">
        <v>1.7477933000757799</v>
      </c>
      <c r="G67" s="11">
        <f t="shared" si="8"/>
        <v>68.598841880314779</v>
      </c>
      <c r="H67" s="11">
        <f t="shared" si="6"/>
        <v>1</v>
      </c>
      <c r="I67" s="34">
        <f t="shared" si="2"/>
        <v>0.5</v>
      </c>
      <c r="J67" s="34">
        <f t="shared" si="3"/>
        <v>0.5</v>
      </c>
      <c r="K67" s="34">
        <f t="shared" si="4"/>
        <v>0.5</v>
      </c>
      <c r="L67" s="38">
        <f t="shared" si="7"/>
        <v>88.359275815638611</v>
      </c>
      <c r="M67" s="38">
        <f t="shared" si="5"/>
        <v>86.659410710349434</v>
      </c>
      <c r="N67" s="6"/>
      <c r="O67" s="6"/>
    </row>
    <row r="68" spans="2:15">
      <c r="B68">
        <v>93.375</v>
      </c>
      <c r="C68">
        <v>91.094999999999999</v>
      </c>
      <c r="D68" s="7">
        <f t="shared" si="0"/>
        <v>92.234999999999999</v>
      </c>
      <c r="E68" s="23">
        <v>2.5114251227276498</v>
      </c>
      <c r="F68" s="25">
        <v>3.0783561617081299</v>
      </c>
      <c r="G68" s="11">
        <f t="shared" si="8"/>
        <v>39.208707318687054</v>
      </c>
      <c r="H68" s="11">
        <f t="shared" si="6"/>
        <v>29.390134561627725</v>
      </c>
      <c r="I68" s="34">
        <f t="shared" si="2"/>
        <v>1.7012511424592414E-2</v>
      </c>
      <c r="J68" s="34">
        <f t="shared" si="3"/>
        <v>0.05</v>
      </c>
      <c r="K68" s="34">
        <f t="shared" si="4"/>
        <v>0.05</v>
      </c>
      <c r="L68" s="38">
        <f t="shared" si="7"/>
        <v>88.553062024856672</v>
      </c>
      <c r="M68" s="38">
        <f t="shared" si="5"/>
        <v>86.706751993212109</v>
      </c>
      <c r="N68" s="6"/>
      <c r="O68" s="6"/>
    </row>
    <row r="69" spans="2:15">
      <c r="B69">
        <v>93.814999999999998</v>
      </c>
      <c r="C69">
        <v>89.53</v>
      </c>
      <c r="D69" s="7">
        <f t="shared" si="0"/>
        <v>91.672499999999999</v>
      </c>
      <c r="E69" s="23">
        <v>0.14925722491527901</v>
      </c>
      <c r="F69" s="25">
        <v>3.5443206375888598</v>
      </c>
      <c r="G69" s="11">
        <f t="shared" si="8"/>
        <v>2.4113955985553779</v>
      </c>
      <c r="H69" s="11">
        <f t="shared" si="6"/>
        <v>36.797311720131674</v>
      </c>
      <c r="I69" s="34">
        <f t="shared" si="2"/>
        <v>1.3587949136144417E-2</v>
      </c>
      <c r="J69" s="34">
        <f t="shared" si="3"/>
        <v>0.05</v>
      </c>
      <c r="K69" s="34">
        <f t="shared" si="4"/>
        <v>0.05</v>
      </c>
      <c r="L69" s="38">
        <f t="shared" si="7"/>
        <v>88.709033923613831</v>
      </c>
      <c r="M69" s="38">
        <f t="shared" si="5"/>
        <v>86.756809041472138</v>
      </c>
      <c r="N69" s="6"/>
      <c r="O69" s="6"/>
    </row>
    <row r="70" spans="2:15">
      <c r="B70">
        <v>94.03</v>
      </c>
      <c r="C70">
        <v>91.155000000000001</v>
      </c>
      <c r="D70" s="7">
        <f t="shared" ref="D70:D133" si="9">(B70+C70)/2</f>
        <v>92.592500000000001</v>
      </c>
      <c r="E70" s="23">
        <v>-1.9299154958074201</v>
      </c>
      <c r="F70" s="25">
        <v>2.9865758393000799</v>
      </c>
      <c r="G70" s="11">
        <f t="shared" si="8"/>
        <v>-32.870411644424443</v>
      </c>
      <c r="H70" s="11">
        <f t="shared" si="6"/>
        <v>35.281807242979824</v>
      </c>
      <c r="I70" s="34">
        <f t="shared" si="2"/>
        <v>1.4171609650168563E-2</v>
      </c>
      <c r="J70" s="34">
        <f t="shared" si="3"/>
        <v>0.05</v>
      </c>
      <c r="K70" s="34">
        <f t="shared" si="4"/>
        <v>0.05</v>
      </c>
      <c r="L70" s="38">
        <f t="shared" si="7"/>
        <v>88.903207227433143</v>
      </c>
      <c r="M70" s="38">
        <f t="shared" si="5"/>
        <v>86.810468996121159</v>
      </c>
      <c r="N70" s="6"/>
      <c r="O70" s="6"/>
    </row>
    <row r="71" spans="2:15">
      <c r="B71">
        <v>94.03</v>
      </c>
      <c r="C71">
        <v>92</v>
      </c>
      <c r="D71" s="7">
        <f t="shared" si="9"/>
        <v>93.015000000000001</v>
      </c>
      <c r="E71" s="23">
        <v>-1.8076076573239299</v>
      </c>
      <c r="F71" s="25">
        <v>1.51191377343487</v>
      </c>
      <c r="G71" s="11">
        <f t="shared" si="8"/>
        <v>-50.090316119986475</v>
      </c>
      <c r="H71" s="11">
        <f t="shared" si="6"/>
        <v>17.219904475562032</v>
      </c>
      <c r="I71" s="34">
        <f t="shared" si="2"/>
        <v>2.9036165717968115E-2</v>
      </c>
      <c r="J71" s="34">
        <f t="shared" si="3"/>
        <v>0.05</v>
      </c>
      <c r="K71" s="34">
        <f t="shared" si="4"/>
        <v>0.05</v>
      </c>
      <c r="L71" s="38">
        <f t="shared" si="7"/>
        <v>89.108796866061482</v>
      </c>
      <c r="M71" s="38">
        <f t="shared" si="5"/>
        <v>86.867927192869672</v>
      </c>
      <c r="N71" s="6"/>
      <c r="O71" s="6"/>
    </row>
    <row r="72" spans="2:15">
      <c r="B72">
        <v>91.814999999999998</v>
      </c>
      <c r="C72">
        <v>90.53</v>
      </c>
      <c r="D72" s="7">
        <f t="shared" si="9"/>
        <v>91.172499999999999</v>
      </c>
      <c r="E72" s="23">
        <v>0.71402518729548903</v>
      </c>
      <c r="F72" s="25">
        <v>1.30815869786988</v>
      </c>
      <c r="G72" s="11">
        <f t="shared" si="8"/>
        <v>28.626797591900971</v>
      </c>
      <c r="H72" s="11">
        <f t="shared" si="6"/>
        <v>1</v>
      </c>
      <c r="I72" s="34">
        <f t="shared" si="2"/>
        <v>0.5</v>
      </c>
      <c r="J72" s="34">
        <f t="shared" si="3"/>
        <v>0.5</v>
      </c>
      <c r="K72" s="34">
        <f t="shared" si="4"/>
        <v>0.5</v>
      </c>
      <c r="L72" s="38">
        <f t="shared" si="7"/>
        <v>90.140648433030748</v>
      </c>
      <c r="M72" s="38">
        <f t="shared" si="5"/>
        <v>87.686107502909948</v>
      </c>
      <c r="N72" s="6"/>
      <c r="O72" s="6"/>
    </row>
    <row r="73" spans="2:15">
      <c r="B73">
        <v>92</v>
      </c>
      <c r="C73">
        <v>89.97</v>
      </c>
      <c r="D73" s="7">
        <f t="shared" si="9"/>
        <v>90.984999999999999</v>
      </c>
      <c r="E73" s="23">
        <v>0.79750540960029404</v>
      </c>
      <c r="F73" s="25">
        <v>2.5014179179760698</v>
      </c>
      <c r="G73" s="11">
        <f t="shared" si="8"/>
        <v>17.683391329752411</v>
      </c>
      <c r="H73" s="11">
        <f t="shared" si="6"/>
        <v>10.94340626214856</v>
      </c>
      <c r="I73" s="34">
        <f t="shared" si="2"/>
        <v>4.5689613272370019E-2</v>
      </c>
      <c r="J73" s="34">
        <f t="shared" si="3"/>
        <v>0.05</v>
      </c>
      <c r="K73" s="34">
        <f t="shared" si="4"/>
        <v>0.05</v>
      </c>
      <c r="L73" s="38">
        <f t="shared" si="7"/>
        <v>90.182866011379204</v>
      </c>
      <c r="M73" s="38">
        <f t="shared" si="5"/>
        <v>87.74852646562168</v>
      </c>
      <c r="N73" s="6"/>
      <c r="O73" s="6"/>
    </row>
    <row r="74" spans="2:15">
      <c r="B74">
        <v>91.94</v>
      </c>
      <c r="C74">
        <v>88.814999999999998</v>
      </c>
      <c r="D74" s="7">
        <f t="shared" si="9"/>
        <v>90.377499999999998</v>
      </c>
      <c r="E74" s="23">
        <v>-0.81775576616191403</v>
      </c>
      <c r="F74" s="25">
        <v>2.34576278603341</v>
      </c>
      <c r="G74" s="11">
        <f t="shared" si="8"/>
        <v>-19.219052668822652</v>
      </c>
      <c r="H74" s="11">
        <f t="shared" si="6"/>
        <v>36.902443998575066</v>
      </c>
      <c r="I74" s="34">
        <f t="shared" si="2"/>
        <v>1.3549238094346997E-2</v>
      </c>
      <c r="J74" s="34">
        <f t="shared" si="3"/>
        <v>0.05</v>
      </c>
      <c r="K74" s="34">
        <f t="shared" si="4"/>
        <v>0.05</v>
      </c>
      <c r="L74" s="38">
        <f t="shared" si="7"/>
        <v>90.192597710810233</v>
      </c>
      <c r="M74" s="38">
        <f t="shared" si="5"/>
        <v>87.809628246751387</v>
      </c>
      <c r="N74" s="6"/>
      <c r="O74" s="6"/>
    </row>
    <row r="75" spans="2:15">
      <c r="B75">
        <v>89.75</v>
      </c>
      <c r="C75">
        <v>86.75</v>
      </c>
      <c r="D75" s="7">
        <f t="shared" si="9"/>
        <v>88.25</v>
      </c>
      <c r="E75" s="23">
        <v>-1.1902547129391901</v>
      </c>
      <c r="F75" s="25">
        <v>1.9234549500273199</v>
      </c>
      <c r="G75" s="11">
        <f t="shared" si="8"/>
        <v>-31.749669875706292</v>
      </c>
      <c r="H75" s="11">
        <f t="shared" si="6"/>
        <v>12.53061720688364</v>
      </c>
      <c r="I75" s="34">
        <f t="shared" si="2"/>
        <v>3.9902264329432009E-2</v>
      </c>
      <c r="J75" s="34">
        <f t="shared" si="3"/>
        <v>0.05</v>
      </c>
      <c r="K75" s="34">
        <f t="shared" si="4"/>
        <v>0.05</v>
      </c>
      <c r="L75" s="38">
        <f t="shared" si="7"/>
        <v>90.095467825269708</v>
      </c>
      <c r="M75" s="38">
        <f t="shared" si="5"/>
        <v>87.86677423621434</v>
      </c>
      <c r="N75" s="6"/>
      <c r="O75" s="6"/>
    </row>
    <row r="76" spans="2:15">
      <c r="B76">
        <v>88.75</v>
      </c>
      <c r="C76">
        <v>85.064999999999998</v>
      </c>
      <c r="D76" s="7">
        <f t="shared" si="9"/>
        <v>86.907499999999999</v>
      </c>
      <c r="E76" s="23">
        <v>-2.6985446089415399</v>
      </c>
      <c r="F76" s="25">
        <v>1.59713846933048</v>
      </c>
      <c r="G76" s="11">
        <f t="shared" si="8"/>
        <v>-59.380755565587968</v>
      </c>
      <c r="H76" s="11">
        <f t="shared" si="6"/>
        <v>27.631085689881676</v>
      </c>
      <c r="I76" s="34">
        <f t="shared" si="2"/>
        <v>1.8095561123140983E-2</v>
      </c>
      <c r="J76" s="34">
        <f t="shared" si="3"/>
        <v>0.05</v>
      </c>
      <c r="K76" s="34">
        <f t="shared" si="4"/>
        <v>0.05</v>
      </c>
      <c r="L76" s="38">
        <f t="shared" si="7"/>
        <v>89.936069434006228</v>
      </c>
      <c r="M76" s="38">
        <f t="shared" si="5"/>
        <v>87.918506616159135</v>
      </c>
      <c r="N76" s="6"/>
      <c r="O76" s="6"/>
    </row>
    <row r="77" spans="2:15">
      <c r="B77">
        <v>86.155000000000001</v>
      </c>
      <c r="C77">
        <v>82.03</v>
      </c>
      <c r="D77" s="7">
        <f t="shared" si="9"/>
        <v>84.092500000000001</v>
      </c>
      <c r="E77" s="23">
        <v>-4.0225996755498201</v>
      </c>
      <c r="F77" s="25">
        <v>6.62588013522247E-2</v>
      </c>
      <c r="G77" s="11">
        <f t="shared" si="8"/>
        <v>-89.056330060205042</v>
      </c>
      <c r="H77" s="11">
        <f t="shared" si="6"/>
        <v>29.675574494617074</v>
      </c>
      <c r="I77" s="34">
        <f t="shared" si="2"/>
        <v>1.6848873476424064E-2</v>
      </c>
      <c r="J77" s="34">
        <f t="shared" si="3"/>
        <v>0.05</v>
      </c>
      <c r="K77" s="34">
        <f t="shared" si="4"/>
        <v>0.05</v>
      </c>
      <c r="L77" s="38">
        <f t="shared" si="7"/>
        <v>89.643890962305903</v>
      </c>
      <c r="M77" s="38">
        <f t="shared" si="5"/>
        <v>87.961641224812809</v>
      </c>
      <c r="N77" s="6"/>
      <c r="O77" s="6"/>
    </row>
    <row r="78" spans="2:15">
      <c r="B78">
        <v>84.875</v>
      </c>
      <c r="C78">
        <v>81.5</v>
      </c>
      <c r="D78" s="7">
        <f t="shared" si="9"/>
        <v>83.1875</v>
      </c>
      <c r="E78" s="23">
        <v>-3.1198118074479102</v>
      </c>
      <c r="F78" s="25">
        <v>-1.2132241804953701</v>
      </c>
      <c r="G78" s="11">
        <f t="shared" si="8"/>
        <v>68.750068258397022</v>
      </c>
      <c r="H78" s="11">
        <f t="shared" si="6"/>
        <v>1</v>
      </c>
      <c r="I78" s="34">
        <f t="shared" si="2"/>
        <v>0.5</v>
      </c>
      <c r="J78" s="34">
        <f t="shared" si="3"/>
        <v>0.5</v>
      </c>
      <c r="K78" s="34">
        <f t="shared" si="4"/>
        <v>0.5</v>
      </c>
      <c r="L78" s="38">
        <f t="shared" si="7"/>
        <v>86.415695481152952</v>
      </c>
      <c r="M78" s="38">
        <f t="shared" si="5"/>
        <v>87.575154788897848</v>
      </c>
      <c r="N78" s="6"/>
      <c r="O78" s="6"/>
    </row>
    <row r="79" spans="2:15">
      <c r="B79">
        <v>85.94</v>
      </c>
      <c r="C79">
        <v>82.564999999999998</v>
      </c>
      <c r="D79" s="7">
        <f t="shared" si="9"/>
        <v>84.252499999999998</v>
      </c>
      <c r="E79" s="23">
        <v>-3.3857607390336302</v>
      </c>
      <c r="F79" s="25">
        <v>-1.7678975836022901</v>
      </c>
      <c r="G79" s="11">
        <f t="shared" si="8"/>
        <v>62.428386774905221</v>
      </c>
      <c r="H79" s="11">
        <f t="shared" si="6"/>
        <v>6.3216814834918011</v>
      </c>
      <c r="I79" s="34">
        <f t="shared" si="2"/>
        <v>7.9092880795351844E-2</v>
      </c>
      <c r="J79" s="34">
        <f t="shared" si="3"/>
        <v>7.9092880795351844E-2</v>
      </c>
      <c r="K79" s="34">
        <f t="shared" si="4"/>
        <v>7.9092880795351844E-2</v>
      </c>
      <c r="L79" s="38">
        <f t="shared" si="7"/>
        <v>86.244602118825071</v>
      </c>
      <c r="M79" s="38">
        <f t="shared" si="5"/>
        <v>87.522536167034843</v>
      </c>
      <c r="N79" s="6"/>
      <c r="O79" s="6"/>
    </row>
    <row r="80" spans="2:15">
      <c r="B80">
        <v>99.375</v>
      </c>
      <c r="C80">
        <v>96.344999999999999</v>
      </c>
      <c r="D80" s="7">
        <f t="shared" si="9"/>
        <v>97.86</v>
      </c>
      <c r="E80" s="23">
        <v>-3.6033707771083399</v>
      </c>
      <c r="F80" s="25">
        <v>-3.1374982393879698</v>
      </c>
      <c r="G80" s="11">
        <f t="shared" si="8"/>
        <v>48.953518942156578</v>
      </c>
      <c r="H80" s="11">
        <f t="shared" si="6"/>
        <v>13.474867832748643</v>
      </c>
      <c r="I80" s="34">
        <f t="shared" si="2"/>
        <v>3.7106115340502642E-2</v>
      </c>
      <c r="J80" s="34">
        <f t="shared" si="3"/>
        <v>0.05</v>
      </c>
      <c r="K80" s="34">
        <f t="shared" si="4"/>
        <v>0.05</v>
      </c>
      <c r="L80" s="38">
        <f t="shared" si="7"/>
        <v>86.825372012883818</v>
      </c>
      <c r="M80" s="38">
        <f t="shared" si="5"/>
        <v>87.505107063181057</v>
      </c>
      <c r="N80" s="6"/>
      <c r="O80" s="6"/>
    </row>
    <row r="81" spans="2:15">
      <c r="B81">
        <v>103.28</v>
      </c>
      <c r="C81">
        <v>96.47</v>
      </c>
      <c r="D81" s="7">
        <f t="shared" si="9"/>
        <v>99.875</v>
      </c>
      <c r="E81" s="23">
        <v>-2.3398423024880599</v>
      </c>
      <c r="F81" s="25">
        <v>-4.1580482786503596</v>
      </c>
      <c r="G81" s="11">
        <f t="shared" ref="G81:G144" si="10">IF(F81&lt;&gt;0,DEGREES(ATAN(E81/F81)),0)</f>
        <v>29.367593572148536</v>
      </c>
      <c r="H81" s="11">
        <f t="shared" si="6"/>
        <v>19.585925370008042</v>
      </c>
      <c r="I81" s="34">
        <f t="shared" si="2"/>
        <v>2.5528535953968801E-2</v>
      </c>
      <c r="J81" s="34">
        <f t="shared" si="3"/>
        <v>0.05</v>
      </c>
      <c r="K81" s="34">
        <f t="shared" si="4"/>
        <v>0.05</v>
      </c>
      <c r="L81" s="38">
        <f t="shared" si="7"/>
        <v>87.477853412239625</v>
      </c>
      <c r="M81" s="38">
        <f t="shared" si="5"/>
        <v>87.504425721907523</v>
      </c>
      <c r="N81" s="6"/>
      <c r="O81" s="6"/>
    </row>
    <row r="82" spans="2:15">
      <c r="B82">
        <v>105.375</v>
      </c>
      <c r="C82">
        <v>101.155</v>
      </c>
      <c r="D82" s="7">
        <f t="shared" si="9"/>
        <v>103.265</v>
      </c>
      <c r="E82" s="23">
        <v>1.3994165568480399</v>
      </c>
      <c r="F82" s="25">
        <v>-5.0918573154078004</v>
      </c>
      <c r="G82" s="11">
        <f t="shared" si="10"/>
        <v>-15.367419396713871</v>
      </c>
      <c r="H82" s="11">
        <f t="shared" ref="H82:H145" si="11">IF( (G81-G82) &lt; 1, 1, (G81-G82))</f>
        <v>44.735012968862407</v>
      </c>
      <c r="I82" s="34">
        <f t="shared" si="2"/>
        <v>1.1176927574560505E-2</v>
      </c>
      <c r="J82" s="34">
        <f t="shared" si="3"/>
        <v>0.05</v>
      </c>
      <c r="K82" s="34">
        <f t="shared" si="4"/>
        <v>0.05</v>
      </c>
      <c r="L82" s="38">
        <f t="shared" si="7"/>
        <v>88.26721074162765</v>
      </c>
      <c r="M82" s="38">
        <f t="shared" si="5"/>
        <v>87.523495347400527</v>
      </c>
      <c r="N82" s="6"/>
      <c r="O82" s="6"/>
    </row>
    <row r="83" spans="2:15">
      <c r="B83">
        <v>107.625</v>
      </c>
      <c r="C83">
        <v>104.25</v>
      </c>
      <c r="D83" s="7">
        <f t="shared" si="9"/>
        <v>105.9375</v>
      </c>
      <c r="E83" s="23">
        <v>7.6193795834450402</v>
      </c>
      <c r="F83" s="25">
        <v>-4.51822095077251</v>
      </c>
      <c r="G83" s="11">
        <f t="shared" si="10"/>
        <v>-59.332454936594814</v>
      </c>
      <c r="H83" s="11">
        <f t="shared" si="11"/>
        <v>43.965035539880944</v>
      </c>
      <c r="I83" s="34">
        <f t="shared" si="2"/>
        <v>1.1372673622575536E-2</v>
      </c>
      <c r="J83" s="34">
        <f t="shared" si="3"/>
        <v>0.05</v>
      </c>
      <c r="K83" s="34">
        <f t="shared" si="4"/>
        <v>0.05</v>
      </c>
      <c r="L83" s="38">
        <f t="shared" si="7"/>
        <v>89.150725204546262</v>
      </c>
      <c r="M83" s="38">
        <f t="shared" si="5"/>
        <v>87.564176093829161</v>
      </c>
      <c r="N83" s="6"/>
      <c r="O83" s="6"/>
    </row>
    <row r="84" spans="2:15">
      <c r="B84">
        <v>105.25</v>
      </c>
      <c r="C84">
        <v>101.75</v>
      </c>
      <c r="D84" s="7">
        <f t="shared" si="9"/>
        <v>103.5</v>
      </c>
      <c r="E84" s="23">
        <v>17.5980032115596</v>
      </c>
      <c r="F84" s="25">
        <v>-1.6590757163341101</v>
      </c>
      <c r="G84" s="11">
        <f t="shared" si="10"/>
        <v>-84.614280870948889</v>
      </c>
      <c r="H84" s="11">
        <f t="shared" si="11"/>
        <v>25.281825934354075</v>
      </c>
      <c r="I84" s="34">
        <f t="shared" si="2"/>
        <v>1.9777052547481456E-2</v>
      </c>
      <c r="J84" s="34">
        <f t="shared" si="3"/>
        <v>0.05</v>
      </c>
      <c r="K84" s="34">
        <f t="shared" si="4"/>
        <v>0.05</v>
      </c>
      <c r="L84" s="38">
        <f t="shared" si="7"/>
        <v>89.868188944318945</v>
      </c>
      <c r="M84" s="38">
        <f t="shared" si="5"/>
        <v>87.621776415091404</v>
      </c>
      <c r="N84" s="6"/>
      <c r="O84" s="6"/>
    </row>
    <row r="85" spans="2:15">
      <c r="B85">
        <v>104.5</v>
      </c>
      <c r="C85">
        <v>101.72</v>
      </c>
      <c r="D85" s="7">
        <f t="shared" si="9"/>
        <v>103.11</v>
      </c>
      <c r="E85" s="23">
        <v>21.8746126774072</v>
      </c>
      <c r="F85" s="25">
        <v>7.6223675601821199</v>
      </c>
      <c r="G85" s="11">
        <f t="shared" si="10"/>
        <v>70.788737809450282</v>
      </c>
      <c r="H85" s="11">
        <f t="shared" si="11"/>
        <v>1</v>
      </c>
      <c r="I85" s="34">
        <f t="shared" si="2"/>
        <v>0.5</v>
      </c>
      <c r="J85" s="34">
        <f t="shared" si="3"/>
        <v>0.5</v>
      </c>
      <c r="K85" s="34">
        <f t="shared" si="4"/>
        <v>0.5</v>
      </c>
      <c r="L85" s="38">
        <f t="shared" si="7"/>
        <v>96.489094472159479</v>
      </c>
      <c r="M85" s="38">
        <f t="shared" si="5"/>
        <v>89.838605929358422</v>
      </c>
      <c r="N85" s="6"/>
      <c r="O85" s="6"/>
    </row>
    <row r="86" spans="2:15">
      <c r="B86">
        <v>105.5</v>
      </c>
      <c r="C86">
        <v>101.72</v>
      </c>
      <c r="D86" s="7">
        <f t="shared" si="9"/>
        <v>103.61</v>
      </c>
      <c r="E86" s="23">
        <v>9.6362760327750099</v>
      </c>
      <c r="F86" s="25">
        <v>15.3266683022322</v>
      </c>
      <c r="G86" s="11">
        <f t="shared" si="10"/>
        <v>32.158645985714635</v>
      </c>
      <c r="H86" s="11">
        <f t="shared" si="11"/>
        <v>38.630091823735647</v>
      </c>
      <c r="I86" s="34">
        <f t="shared" si="2"/>
        <v>1.294327754335761E-2</v>
      </c>
      <c r="J86" s="34">
        <f t="shared" si="3"/>
        <v>0.05</v>
      </c>
      <c r="K86" s="34">
        <f t="shared" si="4"/>
        <v>0.05</v>
      </c>
      <c r="L86" s="38">
        <f t="shared" si="7"/>
        <v>96.845139748551489</v>
      </c>
      <c r="M86" s="38">
        <f t="shared" si="5"/>
        <v>90.013769274838239</v>
      </c>
      <c r="N86" s="6"/>
      <c r="O86" s="6"/>
    </row>
    <row r="87" spans="2:15">
      <c r="B87">
        <v>106.125</v>
      </c>
      <c r="C87">
        <v>103.155</v>
      </c>
      <c r="D87" s="7">
        <f t="shared" si="9"/>
        <v>104.64</v>
      </c>
      <c r="E87" s="23">
        <v>-1.7143116737389601</v>
      </c>
      <c r="F87" s="25">
        <v>14.916089611566701</v>
      </c>
      <c r="G87" s="11">
        <f t="shared" si="10"/>
        <v>-6.5562588448617731</v>
      </c>
      <c r="H87" s="11">
        <f t="shared" si="11"/>
        <v>38.714904830576408</v>
      </c>
      <c r="I87" s="34">
        <f t="shared" si="2"/>
        <v>1.2914922616705182E-2</v>
      </c>
      <c r="J87" s="34">
        <f t="shared" si="3"/>
        <v>0.05</v>
      </c>
      <c r="K87" s="34">
        <f t="shared" si="4"/>
        <v>0.05</v>
      </c>
      <c r="L87" s="38">
        <f t="shared" si="7"/>
        <v>97.234882761123913</v>
      </c>
      <c r="M87" s="38">
        <f t="shared" si="5"/>
        <v>90.194297111995382</v>
      </c>
      <c r="N87" s="6"/>
      <c r="O87" s="6"/>
    </row>
    <row r="88" spans="2:15">
      <c r="B88">
        <v>107.94</v>
      </c>
      <c r="C88">
        <v>105.69</v>
      </c>
      <c r="D88" s="7">
        <f t="shared" si="9"/>
        <v>106.815</v>
      </c>
      <c r="E88" s="23">
        <v>-9.8966102728844003</v>
      </c>
      <c r="F88" s="25">
        <v>13.025700349370499</v>
      </c>
      <c r="G88" s="11">
        <f t="shared" si="10"/>
        <v>-37.22668598755503</v>
      </c>
      <c r="H88" s="11">
        <f t="shared" si="11"/>
        <v>30.670427142693256</v>
      </c>
      <c r="I88" s="34">
        <f t="shared" si="2"/>
        <v>1.630234876331408E-2</v>
      </c>
      <c r="J88" s="34">
        <f t="shared" si="3"/>
        <v>0.05</v>
      </c>
      <c r="K88" s="34">
        <f t="shared" si="4"/>
        <v>0.05</v>
      </c>
      <c r="L88" s="38">
        <f t="shared" si="7"/>
        <v>97.713888623067717</v>
      </c>
      <c r="M88" s="38">
        <f t="shared" si="5"/>
        <v>90.382286899772183</v>
      </c>
      <c r="N88" s="6"/>
      <c r="O88" s="6"/>
    </row>
    <row r="89" spans="2:15">
      <c r="B89">
        <v>106.25</v>
      </c>
      <c r="C89">
        <v>103.655</v>
      </c>
      <c r="D89" s="7">
        <f t="shared" si="9"/>
        <v>104.9525</v>
      </c>
      <c r="E89" s="23">
        <v>-14.480324701452799</v>
      </c>
      <c r="F89" s="25">
        <v>7.2137253435161801</v>
      </c>
      <c r="G89" s="11">
        <f t="shared" si="10"/>
        <v>-63.518694726923563</v>
      </c>
      <c r="H89" s="11">
        <f t="shared" si="11"/>
        <v>26.292008739368534</v>
      </c>
      <c r="I89" s="34">
        <f t="shared" si="2"/>
        <v>1.9017185219907574E-2</v>
      </c>
      <c r="J89" s="34">
        <f t="shared" si="3"/>
        <v>0.05</v>
      </c>
      <c r="K89" s="34">
        <f t="shared" si="4"/>
        <v>0.05</v>
      </c>
      <c r="L89" s="38">
        <f t="shared" si="7"/>
        <v>98.07581919191432</v>
      </c>
      <c r="M89" s="38">
        <f t="shared" si="5"/>
        <v>90.574625207075727</v>
      </c>
      <c r="N89" s="6"/>
      <c r="O89" s="6"/>
    </row>
    <row r="90" spans="2:15">
      <c r="B90">
        <v>107</v>
      </c>
      <c r="C90">
        <v>104</v>
      </c>
      <c r="D90" s="7">
        <f t="shared" si="9"/>
        <v>105.5</v>
      </c>
      <c r="E90" s="23">
        <v>-8.9220899392734605</v>
      </c>
      <c r="F90" s="25">
        <v>2.3886700970789301</v>
      </c>
      <c r="G90" s="11">
        <f t="shared" si="10"/>
        <v>-75.01196410010165</v>
      </c>
      <c r="H90" s="11">
        <f t="shared" si="11"/>
        <v>11.493269373178087</v>
      </c>
      <c r="I90" s="34">
        <f t="shared" si="2"/>
        <v>4.3503722375710867E-2</v>
      </c>
      <c r="J90" s="34">
        <f t="shared" si="3"/>
        <v>0.05</v>
      </c>
      <c r="K90" s="34">
        <f t="shared" si="4"/>
        <v>0.05</v>
      </c>
      <c r="L90" s="38">
        <f t="shared" si="7"/>
        <v>98.447028232318601</v>
      </c>
      <c r="M90" s="38">
        <f t="shared" si="5"/>
        <v>90.77143528270679</v>
      </c>
      <c r="N90" s="6"/>
      <c r="O90" s="6"/>
    </row>
    <row r="91" spans="2:15">
      <c r="B91">
        <v>108.75</v>
      </c>
      <c r="C91">
        <v>105.53</v>
      </c>
      <c r="D91" s="7">
        <f t="shared" si="9"/>
        <v>107.14</v>
      </c>
      <c r="E91" s="23">
        <v>-3.8226480601627602</v>
      </c>
      <c r="F91" s="25">
        <v>0.93195572351793798</v>
      </c>
      <c r="G91" s="11">
        <f t="shared" si="10"/>
        <v>-76.298661994780247</v>
      </c>
      <c r="H91" s="11">
        <f t="shared" si="11"/>
        <v>1.2866978946785963</v>
      </c>
      <c r="I91" s="34">
        <f t="shared" si="2"/>
        <v>0.38859160496636608</v>
      </c>
      <c r="J91" s="34">
        <f t="shared" si="3"/>
        <v>0.38859160496636608</v>
      </c>
      <c r="K91" s="34">
        <f t="shared" si="4"/>
        <v>0.38859160496636608</v>
      </c>
      <c r="L91" s="38">
        <f t="shared" si="7"/>
        <v>101.82504408344923</v>
      </c>
      <c r="M91" s="38">
        <f t="shared" si="5"/>
        <v>92.919105074982212</v>
      </c>
      <c r="N91" s="6"/>
      <c r="O91" s="6"/>
    </row>
    <row r="92" spans="2:15">
      <c r="B92">
        <v>110.94</v>
      </c>
      <c r="C92">
        <v>108.53</v>
      </c>
      <c r="D92" s="7">
        <f t="shared" si="9"/>
        <v>109.735</v>
      </c>
      <c r="E92" s="23">
        <v>-0.10426594311667201</v>
      </c>
      <c r="F92" s="25">
        <v>0.518932727713599</v>
      </c>
      <c r="G92" s="11">
        <f t="shared" si="10"/>
        <v>-11.360818296793932</v>
      </c>
      <c r="H92" s="11">
        <f t="shared" si="11"/>
        <v>1</v>
      </c>
      <c r="I92" s="34">
        <f t="shared" si="2"/>
        <v>0.5</v>
      </c>
      <c r="J92" s="34">
        <f t="shared" si="3"/>
        <v>0.5</v>
      </c>
      <c r="K92" s="34">
        <f t="shared" si="4"/>
        <v>0.5</v>
      </c>
      <c r="L92" s="38">
        <f t="shared" si="7"/>
        <v>105.78002204172461</v>
      </c>
      <c r="M92" s="38">
        <f t="shared" si="5"/>
        <v>96.134334316667804</v>
      </c>
      <c r="N92" s="6"/>
      <c r="O92" s="6"/>
    </row>
    <row r="93" spans="2:15">
      <c r="B93">
        <v>110.94</v>
      </c>
      <c r="C93">
        <v>108.75</v>
      </c>
      <c r="D93" s="7">
        <f t="shared" si="9"/>
        <v>109.845</v>
      </c>
      <c r="E93" s="23">
        <v>1.26112241662319</v>
      </c>
      <c r="F93" s="25">
        <v>1.8586734034293699</v>
      </c>
      <c r="G93" s="11">
        <f t="shared" si="10"/>
        <v>34.157156331722142</v>
      </c>
      <c r="H93" s="11">
        <f t="shared" si="11"/>
        <v>1</v>
      </c>
      <c r="I93" s="34">
        <f t="shared" si="2"/>
        <v>0.5</v>
      </c>
      <c r="J93" s="34">
        <f t="shared" si="3"/>
        <v>0.5</v>
      </c>
      <c r="K93" s="34">
        <f t="shared" si="4"/>
        <v>0.5</v>
      </c>
      <c r="L93" s="38">
        <f t="shared" si="7"/>
        <v>107.8125110208623</v>
      </c>
      <c r="M93" s="38">
        <f t="shared" si="5"/>
        <v>99.053878492716422</v>
      </c>
      <c r="N93" s="6"/>
      <c r="O93" s="6"/>
    </row>
    <row r="94" spans="2:15">
      <c r="B94">
        <v>114.22</v>
      </c>
      <c r="C94">
        <v>107.75</v>
      </c>
      <c r="D94" s="7">
        <f t="shared" si="9"/>
        <v>110.985</v>
      </c>
      <c r="E94" s="23">
        <v>-0.47937374094179602</v>
      </c>
      <c r="F94" s="25">
        <v>1.84100225343154</v>
      </c>
      <c r="G94" s="11">
        <f t="shared" si="10"/>
        <v>-14.595003719974528</v>
      </c>
      <c r="H94" s="11">
        <f t="shared" si="11"/>
        <v>48.75216005169667</v>
      </c>
      <c r="I94" s="34">
        <f t="shared" si="2"/>
        <v>1.0255955827799245E-2</v>
      </c>
      <c r="J94" s="34">
        <f t="shared" si="3"/>
        <v>0.05</v>
      </c>
      <c r="K94" s="34">
        <f t="shared" si="4"/>
        <v>0.05</v>
      </c>
      <c r="L94" s="38">
        <f t="shared" si="7"/>
        <v>107.97113546981919</v>
      </c>
      <c r="M94" s="38">
        <f t="shared" si="5"/>
        <v>99.276809917143979</v>
      </c>
      <c r="N94" s="6"/>
      <c r="O94" s="6"/>
    </row>
    <row r="95" spans="2:15">
      <c r="B95">
        <v>123</v>
      </c>
      <c r="C95">
        <v>117</v>
      </c>
      <c r="D95" s="7">
        <f t="shared" si="9"/>
        <v>120</v>
      </c>
      <c r="E95" s="23">
        <v>0.60895118328520903</v>
      </c>
      <c r="F95" s="25">
        <v>1.04426384600614</v>
      </c>
      <c r="G95" s="11">
        <f t="shared" si="10"/>
        <v>30.24813740200425</v>
      </c>
      <c r="H95" s="11">
        <f t="shared" si="11"/>
        <v>1</v>
      </c>
      <c r="I95" s="34">
        <f t="shared" ref="I95:I158" si="12">$B$1/H95</f>
        <v>0.5</v>
      </c>
      <c r="J95" s="34">
        <f t="shared" ref="J95:J158" si="13">IF(I95 &lt; $C$1, $C$1, I95 )</f>
        <v>0.5</v>
      </c>
      <c r="K95" s="34">
        <f t="shared" ref="K95:K158" si="14">IF(J95 &gt; $B$1, $B$1, J95 )</f>
        <v>0.5</v>
      </c>
      <c r="L95" s="38">
        <f t="shared" ref="L95:L158" si="15">K95*D95 + (1-K95)*L94</f>
        <v>113.98556773490959</v>
      </c>
      <c r="M95" s="38">
        <f t="shared" ref="M95:M158" si="16">0.5*K95*L95+(1-0.5*K95)*M94</f>
        <v>102.95399937158538</v>
      </c>
      <c r="N95" s="6"/>
      <c r="O95" s="6"/>
    </row>
    <row r="96" spans="2:15">
      <c r="B96">
        <v>121.75</v>
      </c>
      <c r="C96">
        <v>118</v>
      </c>
      <c r="D96" s="7">
        <f t="shared" si="9"/>
        <v>119.875</v>
      </c>
      <c r="E96" s="23">
        <v>2.7663995094540299</v>
      </c>
      <c r="F96" s="25">
        <v>1.74837302503257</v>
      </c>
      <c r="G96" s="11">
        <f t="shared" si="10"/>
        <v>57.706987183599509</v>
      </c>
      <c r="H96" s="11">
        <f t="shared" si="11"/>
        <v>1</v>
      </c>
      <c r="I96" s="34">
        <f t="shared" si="12"/>
        <v>0.5</v>
      </c>
      <c r="J96" s="34">
        <f t="shared" si="13"/>
        <v>0.5</v>
      </c>
      <c r="K96" s="34">
        <f t="shared" si="14"/>
        <v>0.5</v>
      </c>
      <c r="L96" s="38">
        <f t="shared" si="15"/>
        <v>116.93028386745479</v>
      </c>
      <c r="M96" s="38">
        <f t="shared" si="16"/>
        <v>106.44807049555274</v>
      </c>
      <c r="N96" s="6"/>
      <c r="O96" s="6"/>
    </row>
    <row r="97" spans="2:15">
      <c r="B97">
        <v>119.815</v>
      </c>
      <c r="C97">
        <v>116</v>
      </c>
      <c r="D97" s="7">
        <f t="shared" si="9"/>
        <v>117.9075</v>
      </c>
      <c r="E97" s="23">
        <v>4.1973931660392099</v>
      </c>
      <c r="F97" s="25">
        <v>3.1012888923576498</v>
      </c>
      <c r="G97" s="11">
        <f t="shared" si="10"/>
        <v>53.540761069923846</v>
      </c>
      <c r="H97" s="11">
        <f t="shared" si="11"/>
        <v>4.1662261136756626</v>
      </c>
      <c r="I97" s="34">
        <f t="shared" si="12"/>
        <v>0.1200126892678117</v>
      </c>
      <c r="J97" s="34">
        <f t="shared" si="13"/>
        <v>0.1200126892678117</v>
      </c>
      <c r="K97" s="34">
        <f t="shared" si="14"/>
        <v>0.1200126892678117</v>
      </c>
      <c r="L97" s="38">
        <f t="shared" si="15"/>
        <v>117.04756220351743</v>
      </c>
      <c r="M97" s="38">
        <f t="shared" si="16"/>
        <v>107.0841072479251</v>
      </c>
      <c r="N97" s="6"/>
      <c r="O97" s="6"/>
    </row>
    <row r="98" spans="2:15">
      <c r="B98">
        <v>120.315</v>
      </c>
      <c r="C98">
        <v>118.5</v>
      </c>
      <c r="D98" s="7">
        <f t="shared" si="9"/>
        <v>119.4075</v>
      </c>
      <c r="E98" s="23">
        <v>3.5455169386355601</v>
      </c>
      <c r="F98" s="25">
        <v>4.46542827751676</v>
      </c>
      <c r="G98" s="11">
        <f t="shared" si="10"/>
        <v>38.449314578476688</v>
      </c>
      <c r="H98" s="11">
        <f t="shared" si="11"/>
        <v>15.091446491447158</v>
      </c>
      <c r="I98" s="34">
        <f t="shared" si="12"/>
        <v>3.313135028397491E-2</v>
      </c>
      <c r="J98" s="34">
        <f t="shared" si="13"/>
        <v>0.05</v>
      </c>
      <c r="K98" s="34">
        <f t="shared" si="14"/>
        <v>0.05</v>
      </c>
      <c r="L98" s="38">
        <f t="shared" si="15"/>
        <v>117.16555909334156</v>
      </c>
      <c r="M98" s="38">
        <f t="shared" si="16"/>
        <v>107.3361435440605</v>
      </c>
      <c r="N98" s="6"/>
      <c r="O98" s="6"/>
    </row>
    <row r="99" spans="2:15">
      <c r="B99">
        <v>119.375</v>
      </c>
      <c r="C99">
        <v>116.53</v>
      </c>
      <c r="D99" s="7">
        <f t="shared" si="9"/>
        <v>117.9525</v>
      </c>
      <c r="E99" s="23">
        <v>5.2257812322964998</v>
      </c>
      <c r="F99" s="25">
        <v>4.71246603432414</v>
      </c>
      <c r="G99" s="11">
        <f t="shared" si="10"/>
        <v>47.956726839068182</v>
      </c>
      <c r="H99" s="11">
        <f t="shared" si="11"/>
        <v>1</v>
      </c>
      <c r="I99" s="34">
        <f t="shared" si="12"/>
        <v>0.5</v>
      </c>
      <c r="J99" s="34">
        <f t="shared" si="13"/>
        <v>0.5</v>
      </c>
      <c r="K99" s="34">
        <f t="shared" si="14"/>
        <v>0.5</v>
      </c>
      <c r="L99" s="38">
        <f t="shared" si="15"/>
        <v>117.55902954667079</v>
      </c>
      <c r="M99" s="38">
        <f t="shared" si="16"/>
        <v>109.89186504471307</v>
      </c>
      <c r="N99" s="6"/>
      <c r="O99" s="6"/>
    </row>
    <row r="100" spans="2:15">
      <c r="B100">
        <v>118.19</v>
      </c>
      <c r="C100">
        <v>116.25</v>
      </c>
      <c r="D100" s="7">
        <f t="shared" si="9"/>
        <v>117.22</v>
      </c>
      <c r="E100" s="23">
        <v>6.6194928965014403</v>
      </c>
      <c r="F100" s="25">
        <v>8.2249690401874993</v>
      </c>
      <c r="G100" s="11">
        <f t="shared" si="10"/>
        <v>38.827270872053653</v>
      </c>
      <c r="H100" s="11">
        <f t="shared" si="11"/>
        <v>9.129455967014529</v>
      </c>
      <c r="I100" s="34">
        <f t="shared" si="12"/>
        <v>5.4767776065358209E-2</v>
      </c>
      <c r="J100" s="34">
        <f t="shared" si="13"/>
        <v>5.4767776065358209E-2</v>
      </c>
      <c r="K100" s="34">
        <f t="shared" si="14"/>
        <v>5.4767776065358209E-2</v>
      </c>
      <c r="L100" s="38">
        <f t="shared" si="15"/>
        <v>117.54046165237918</v>
      </c>
      <c r="M100" s="38">
        <f t="shared" si="16"/>
        <v>110.10131335782452</v>
      </c>
      <c r="N100" s="6"/>
      <c r="O100" s="6"/>
    </row>
    <row r="101" spans="2:15">
      <c r="B101">
        <v>116.69</v>
      </c>
      <c r="C101">
        <v>114.595</v>
      </c>
      <c r="D101" s="7">
        <f t="shared" si="9"/>
        <v>115.6425</v>
      </c>
      <c r="E101" s="23">
        <v>-2.85189858372881</v>
      </c>
      <c r="F101" s="25">
        <v>10.2071398863488</v>
      </c>
      <c r="G101" s="11">
        <f t="shared" si="10"/>
        <v>-15.610486677171069</v>
      </c>
      <c r="H101" s="11">
        <f t="shared" si="11"/>
        <v>54.43775754922472</v>
      </c>
      <c r="I101" s="34">
        <f t="shared" si="12"/>
        <v>9.1848015515312281E-3</v>
      </c>
      <c r="J101" s="34">
        <f t="shared" si="13"/>
        <v>0.05</v>
      </c>
      <c r="K101" s="34">
        <f t="shared" si="14"/>
        <v>0.05</v>
      </c>
      <c r="L101" s="38">
        <f t="shared" si="15"/>
        <v>117.44556356976022</v>
      </c>
      <c r="M101" s="38">
        <f t="shared" si="16"/>
        <v>110.28491961312291</v>
      </c>
      <c r="N101" s="6"/>
      <c r="O101" s="6"/>
    </row>
    <row r="102" spans="2:15">
      <c r="B102">
        <v>115.345</v>
      </c>
      <c r="C102">
        <v>110.875</v>
      </c>
      <c r="D102" s="7">
        <f t="shared" si="9"/>
        <v>113.11</v>
      </c>
      <c r="E102" s="23">
        <v>-9.0961189927242394</v>
      </c>
      <c r="F102" s="25">
        <v>6.4514132494625098</v>
      </c>
      <c r="G102" s="11">
        <f t="shared" si="10"/>
        <v>-54.653866400575431</v>
      </c>
      <c r="H102" s="11">
        <f t="shared" si="11"/>
        <v>39.043379723404364</v>
      </c>
      <c r="I102" s="34">
        <f t="shared" si="12"/>
        <v>1.2806268400485767E-2</v>
      </c>
      <c r="J102" s="34">
        <f t="shared" si="13"/>
        <v>0.05</v>
      </c>
      <c r="K102" s="34">
        <f t="shared" si="14"/>
        <v>0.05</v>
      </c>
      <c r="L102" s="38">
        <f t="shared" si="15"/>
        <v>117.22878539127221</v>
      </c>
      <c r="M102" s="38">
        <f t="shared" si="16"/>
        <v>110.45851625757665</v>
      </c>
      <c r="N102" s="6"/>
      <c r="O102" s="6"/>
    </row>
    <row r="103" spans="2:15">
      <c r="B103">
        <v>113</v>
      </c>
      <c r="C103">
        <v>110.5</v>
      </c>
      <c r="D103" s="7">
        <f t="shared" si="9"/>
        <v>111.75</v>
      </c>
      <c r="E103" s="23">
        <v>-9.1111897814412597</v>
      </c>
      <c r="F103" s="25">
        <v>3.8858588956854199</v>
      </c>
      <c r="G103" s="11">
        <f t="shared" si="10"/>
        <v>-66.902090363473619</v>
      </c>
      <c r="H103" s="11">
        <f t="shared" si="11"/>
        <v>12.248223962898187</v>
      </c>
      <c r="I103" s="34">
        <f t="shared" si="12"/>
        <v>4.0822245046676094E-2</v>
      </c>
      <c r="J103" s="34">
        <f t="shared" si="13"/>
        <v>0.05</v>
      </c>
      <c r="K103" s="34">
        <f t="shared" si="14"/>
        <v>0.05</v>
      </c>
      <c r="L103" s="38">
        <f t="shared" si="15"/>
        <v>116.9548461217086</v>
      </c>
      <c r="M103" s="38">
        <f t="shared" si="16"/>
        <v>110.62092450417994</v>
      </c>
      <c r="N103" s="6"/>
      <c r="O103" s="6"/>
    </row>
    <row r="104" spans="2:15">
      <c r="B104">
        <v>118.315</v>
      </c>
      <c r="C104">
        <v>110.72</v>
      </c>
      <c r="D104" s="7">
        <f t="shared" si="9"/>
        <v>114.5175</v>
      </c>
      <c r="E104" s="23">
        <v>-10.209969478514701</v>
      </c>
      <c r="F104" s="25">
        <v>0.96962916267980603</v>
      </c>
      <c r="G104" s="11">
        <f t="shared" si="10"/>
        <v>-84.574955735159662</v>
      </c>
      <c r="H104" s="11">
        <f t="shared" si="11"/>
        <v>17.672865371686044</v>
      </c>
      <c r="I104" s="34">
        <f t="shared" si="12"/>
        <v>2.8291959989751144E-2</v>
      </c>
      <c r="J104" s="34">
        <f t="shared" si="13"/>
        <v>0.05</v>
      </c>
      <c r="K104" s="34">
        <f t="shared" si="14"/>
        <v>0.05</v>
      </c>
      <c r="L104" s="38">
        <f t="shared" si="15"/>
        <v>116.83297881562316</v>
      </c>
      <c r="M104" s="38">
        <f t="shared" si="16"/>
        <v>110.77622586196603</v>
      </c>
      <c r="N104" s="6"/>
      <c r="O104" s="6"/>
    </row>
    <row r="105" spans="2:15">
      <c r="B105">
        <v>116.87</v>
      </c>
      <c r="C105">
        <v>112.62</v>
      </c>
      <c r="D105" s="7">
        <f t="shared" si="9"/>
        <v>114.745</v>
      </c>
      <c r="E105" s="23">
        <v>-7.3098230309593903</v>
      </c>
      <c r="F105" s="25">
        <v>-1.8289427479249001</v>
      </c>
      <c r="G105" s="11">
        <f t="shared" si="10"/>
        <v>75.95278735264101</v>
      </c>
      <c r="H105" s="11">
        <f t="shared" si="11"/>
        <v>1</v>
      </c>
      <c r="I105" s="34">
        <f t="shared" si="12"/>
        <v>0.5</v>
      </c>
      <c r="J105" s="34">
        <f t="shared" si="13"/>
        <v>0.5</v>
      </c>
      <c r="K105" s="34">
        <f t="shared" si="14"/>
        <v>0.5</v>
      </c>
      <c r="L105" s="38">
        <f t="shared" si="15"/>
        <v>115.78898940781158</v>
      </c>
      <c r="M105" s="38">
        <f t="shared" si="16"/>
        <v>112.02941674842741</v>
      </c>
      <c r="N105" s="6"/>
      <c r="O105" s="6"/>
    </row>
    <row r="106" spans="2:15">
      <c r="B106">
        <v>116.75</v>
      </c>
      <c r="C106">
        <v>114.19</v>
      </c>
      <c r="D106" s="7">
        <f t="shared" si="9"/>
        <v>115.47</v>
      </c>
      <c r="E106" s="23">
        <v>-4.8105175370064499</v>
      </c>
      <c r="F106" s="25">
        <v>-2.9851608447343301</v>
      </c>
      <c r="G106" s="11">
        <f t="shared" si="10"/>
        <v>58.178380070221827</v>
      </c>
      <c r="H106" s="11">
        <f t="shared" si="11"/>
        <v>17.774407282419183</v>
      </c>
      <c r="I106" s="34">
        <f t="shared" si="12"/>
        <v>2.8130333240116212E-2</v>
      </c>
      <c r="J106" s="34">
        <f t="shared" si="13"/>
        <v>0.05</v>
      </c>
      <c r="K106" s="34">
        <f t="shared" si="14"/>
        <v>0.05</v>
      </c>
      <c r="L106" s="38">
        <f t="shared" si="15"/>
        <v>115.773039937421</v>
      </c>
      <c r="M106" s="38">
        <f t="shared" si="16"/>
        <v>112.12300732815224</v>
      </c>
      <c r="N106" s="6"/>
      <c r="O106" s="6"/>
    </row>
    <row r="107" spans="2:15">
      <c r="B107">
        <v>113.87</v>
      </c>
      <c r="C107">
        <v>111.19</v>
      </c>
      <c r="D107" s="7">
        <f t="shared" si="9"/>
        <v>112.53</v>
      </c>
      <c r="E107" s="23">
        <v>-3.05161971899367</v>
      </c>
      <c r="F107" s="25">
        <v>-4.6174363823458604</v>
      </c>
      <c r="G107" s="11">
        <f t="shared" si="10"/>
        <v>33.460336058644707</v>
      </c>
      <c r="H107" s="11">
        <f t="shared" si="11"/>
        <v>24.718044011577121</v>
      </c>
      <c r="I107" s="34">
        <f t="shared" si="12"/>
        <v>2.0228137783305847E-2</v>
      </c>
      <c r="J107" s="34">
        <f t="shared" si="13"/>
        <v>0.05</v>
      </c>
      <c r="K107" s="34">
        <f t="shared" si="14"/>
        <v>0.05</v>
      </c>
      <c r="L107" s="38">
        <f t="shared" si="15"/>
        <v>115.61088794054996</v>
      </c>
      <c r="M107" s="38">
        <f t="shared" si="16"/>
        <v>112.21020434346218</v>
      </c>
      <c r="N107" s="6"/>
      <c r="O107" s="6"/>
    </row>
    <row r="108" spans="2:15">
      <c r="B108">
        <v>114.62</v>
      </c>
      <c r="C108">
        <v>109.44</v>
      </c>
      <c r="D108" s="7">
        <f t="shared" si="9"/>
        <v>112.03</v>
      </c>
      <c r="E108" s="23">
        <v>2.9684509427792301</v>
      </c>
      <c r="F108" s="25">
        <v>-5.2561437527419796</v>
      </c>
      <c r="G108" s="11">
        <f t="shared" si="10"/>
        <v>-29.455950915231092</v>
      </c>
      <c r="H108" s="11">
        <f t="shared" si="11"/>
        <v>62.916286973875799</v>
      </c>
      <c r="I108" s="34">
        <f t="shared" si="12"/>
        <v>7.9470678269302642E-3</v>
      </c>
      <c r="J108" s="34">
        <f t="shared" si="13"/>
        <v>0.05</v>
      </c>
      <c r="K108" s="34">
        <f t="shared" si="14"/>
        <v>0.05</v>
      </c>
      <c r="L108" s="38">
        <f t="shared" si="15"/>
        <v>115.43184354352246</v>
      </c>
      <c r="M108" s="38">
        <f t="shared" si="16"/>
        <v>112.2907453234637</v>
      </c>
      <c r="N108" s="6"/>
      <c r="O108" s="6"/>
    </row>
    <row r="109" spans="2:15">
      <c r="B109">
        <v>115.31</v>
      </c>
      <c r="C109">
        <v>111.56</v>
      </c>
      <c r="D109" s="7">
        <f t="shared" si="9"/>
        <v>113.435</v>
      </c>
      <c r="E109" s="23">
        <v>7.0446841466161203</v>
      </c>
      <c r="F109" s="25">
        <v>-2.7212856131974199</v>
      </c>
      <c r="G109" s="11">
        <f t="shared" si="10"/>
        <v>-68.878990393999032</v>
      </c>
      <c r="H109" s="11">
        <f t="shared" si="11"/>
        <v>39.42303947876794</v>
      </c>
      <c r="I109" s="34">
        <f t="shared" si="12"/>
        <v>1.2682938875610667E-2</v>
      </c>
      <c r="J109" s="34">
        <f t="shared" si="13"/>
        <v>0.05</v>
      </c>
      <c r="K109" s="34">
        <f t="shared" si="14"/>
        <v>0.05</v>
      </c>
      <c r="L109" s="38">
        <f t="shared" si="15"/>
        <v>115.33200136634633</v>
      </c>
      <c r="M109" s="38">
        <f t="shared" si="16"/>
        <v>112.36677672453575</v>
      </c>
      <c r="N109" s="6"/>
      <c r="O109" s="6"/>
    </row>
    <row r="110" spans="2:15">
      <c r="B110">
        <v>116</v>
      </c>
      <c r="C110">
        <v>112.44</v>
      </c>
      <c r="D110" s="7">
        <f t="shared" si="9"/>
        <v>114.22</v>
      </c>
      <c r="E110" s="23">
        <v>5.12866474495247</v>
      </c>
      <c r="F110" s="25">
        <v>-6.6082722411276898E-2</v>
      </c>
      <c r="G110" s="11">
        <f t="shared" si="10"/>
        <v>-89.26178610475236</v>
      </c>
      <c r="H110" s="11">
        <f t="shared" si="11"/>
        <v>20.382795710753328</v>
      </c>
      <c r="I110" s="34">
        <f t="shared" si="12"/>
        <v>2.4530491650672611E-2</v>
      </c>
      <c r="J110" s="34">
        <f t="shared" si="13"/>
        <v>0.05</v>
      </c>
      <c r="K110" s="34">
        <f t="shared" si="14"/>
        <v>0.05</v>
      </c>
      <c r="L110" s="38">
        <f t="shared" si="15"/>
        <v>115.27640129802901</v>
      </c>
      <c r="M110" s="38">
        <f t="shared" si="16"/>
        <v>112.43951733887307</v>
      </c>
      <c r="N110" s="6"/>
      <c r="O110" s="6"/>
    </row>
    <row r="111" spans="2:15">
      <c r="B111">
        <v>121.69</v>
      </c>
      <c r="C111">
        <v>117.5</v>
      </c>
      <c r="D111" s="7">
        <f t="shared" si="9"/>
        <v>119.595</v>
      </c>
      <c r="E111" s="23">
        <v>1.0618514774261201</v>
      </c>
      <c r="F111" s="25">
        <v>1.0402660563686299</v>
      </c>
      <c r="G111" s="11">
        <f t="shared" si="10"/>
        <v>45.58831632415621</v>
      </c>
      <c r="H111" s="11">
        <f t="shared" si="11"/>
        <v>1</v>
      </c>
      <c r="I111" s="34">
        <f t="shared" si="12"/>
        <v>0.5</v>
      </c>
      <c r="J111" s="34">
        <f t="shared" si="13"/>
        <v>0.5</v>
      </c>
      <c r="K111" s="34">
        <f t="shared" si="14"/>
        <v>0.5</v>
      </c>
      <c r="L111" s="38">
        <f t="shared" si="15"/>
        <v>117.43570064901451</v>
      </c>
      <c r="M111" s="38">
        <f t="shared" si="16"/>
        <v>113.68856316640843</v>
      </c>
      <c r="N111" s="6"/>
      <c r="O111" s="6"/>
    </row>
    <row r="112" spans="2:15">
      <c r="B112">
        <v>119.87</v>
      </c>
      <c r="C112">
        <v>116.06</v>
      </c>
      <c r="D112" s="7">
        <f t="shared" si="9"/>
        <v>117.965</v>
      </c>
      <c r="E112" s="23">
        <v>-2.7812458031776699</v>
      </c>
      <c r="F112" s="25">
        <v>8.0166108991456902E-2</v>
      </c>
      <c r="G112" s="11">
        <f t="shared" si="10"/>
        <v>-88.348974294030185</v>
      </c>
      <c r="H112" s="11">
        <f t="shared" si="11"/>
        <v>133.93729061818641</v>
      </c>
      <c r="I112" s="34">
        <f t="shared" si="12"/>
        <v>3.733090296901291E-3</v>
      </c>
      <c r="J112" s="34">
        <f t="shared" si="13"/>
        <v>0.05</v>
      </c>
      <c r="K112" s="34">
        <f t="shared" si="14"/>
        <v>0.05</v>
      </c>
      <c r="L112" s="38">
        <f t="shared" si="15"/>
        <v>117.46216561656378</v>
      </c>
      <c r="M112" s="38">
        <f t="shared" si="16"/>
        <v>113.7829032276623</v>
      </c>
      <c r="N112" s="6"/>
      <c r="O112" s="6"/>
    </row>
    <row r="113" spans="2:15">
      <c r="B113">
        <v>120.87</v>
      </c>
      <c r="C113">
        <v>116.56</v>
      </c>
      <c r="D113" s="7">
        <f t="shared" si="9"/>
        <v>118.715</v>
      </c>
      <c r="E113" s="23">
        <v>-0.18785545504519</v>
      </c>
      <c r="F113" s="25">
        <v>-1.91654641732328</v>
      </c>
      <c r="G113" s="11">
        <f t="shared" si="10"/>
        <v>5.5981178168204577</v>
      </c>
      <c r="H113" s="11">
        <f t="shared" si="11"/>
        <v>1</v>
      </c>
      <c r="I113" s="34">
        <f t="shared" si="12"/>
        <v>0.5</v>
      </c>
      <c r="J113" s="34">
        <f t="shared" si="13"/>
        <v>0.5</v>
      </c>
      <c r="K113" s="34">
        <f t="shared" si="14"/>
        <v>0.5</v>
      </c>
      <c r="L113" s="38">
        <f t="shared" si="15"/>
        <v>118.0885828082819</v>
      </c>
      <c r="M113" s="38">
        <f t="shared" si="16"/>
        <v>114.8593231228172</v>
      </c>
      <c r="N113" s="6"/>
      <c r="O113" s="6"/>
    </row>
    <row r="114" spans="2:15">
      <c r="B114">
        <v>116.75</v>
      </c>
      <c r="C114">
        <v>113.31</v>
      </c>
      <c r="D114" s="7">
        <f t="shared" si="9"/>
        <v>115.03</v>
      </c>
      <c r="E114" s="23">
        <v>3.9543756403830601</v>
      </c>
      <c r="F114" s="25">
        <v>-0.80130094835982002</v>
      </c>
      <c r="G114" s="11">
        <f t="shared" si="10"/>
        <v>-78.544889618028876</v>
      </c>
      <c r="H114" s="11">
        <f t="shared" si="11"/>
        <v>84.143007434849338</v>
      </c>
      <c r="I114" s="34">
        <f t="shared" si="12"/>
        <v>5.9422644286531174E-3</v>
      </c>
      <c r="J114" s="34">
        <f t="shared" si="13"/>
        <v>0.05</v>
      </c>
      <c r="K114" s="34">
        <f t="shared" si="14"/>
        <v>0.05</v>
      </c>
      <c r="L114" s="38">
        <f t="shared" si="15"/>
        <v>117.9356536678678</v>
      </c>
      <c r="M114" s="38">
        <f t="shared" si="16"/>
        <v>114.93623138644347</v>
      </c>
      <c r="N114" s="6"/>
      <c r="O114" s="6"/>
    </row>
    <row r="115" spans="2:15">
      <c r="B115">
        <v>116.5</v>
      </c>
      <c r="C115">
        <v>112.56</v>
      </c>
      <c r="D115" s="7">
        <f t="shared" si="9"/>
        <v>114.53</v>
      </c>
      <c r="E115" s="23">
        <v>6.4077368987407404</v>
      </c>
      <c r="F115" s="25">
        <v>0.77965943442812902</v>
      </c>
      <c r="G115" s="11">
        <f t="shared" si="10"/>
        <v>83.062654547328464</v>
      </c>
      <c r="H115" s="11">
        <f t="shared" si="11"/>
        <v>1</v>
      </c>
      <c r="I115" s="34">
        <f t="shared" si="12"/>
        <v>0.5</v>
      </c>
      <c r="J115" s="34">
        <f t="shared" si="13"/>
        <v>0.5</v>
      </c>
      <c r="K115" s="34">
        <f t="shared" si="14"/>
        <v>0.5</v>
      </c>
      <c r="L115" s="38">
        <f t="shared" si="15"/>
        <v>116.2328268339339</v>
      </c>
      <c r="M115" s="38">
        <f t="shared" si="16"/>
        <v>115.26038024831607</v>
      </c>
      <c r="N115" s="6"/>
      <c r="O115" s="6"/>
    </row>
    <row r="116" spans="2:15">
      <c r="B116">
        <v>116</v>
      </c>
      <c r="C116">
        <v>114</v>
      </c>
      <c r="D116" s="7">
        <f t="shared" si="9"/>
        <v>115</v>
      </c>
      <c r="E116" s="23">
        <v>5.5711084564222801</v>
      </c>
      <c r="F116" s="25">
        <v>4.2524538477611502</v>
      </c>
      <c r="G116" s="11">
        <f t="shared" si="10"/>
        <v>52.645332056934642</v>
      </c>
      <c r="H116" s="11">
        <f t="shared" si="11"/>
        <v>30.417322490393822</v>
      </c>
      <c r="I116" s="34">
        <f t="shared" si="12"/>
        <v>1.6438001739236135E-2</v>
      </c>
      <c r="J116" s="34">
        <f t="shared" si="13"/>
        <v>0.05</v>
      </c>
      <c r="K116" s="34">
        <f t="shared" si="14"/>
        <v>0.05</v>
      </c>
      <c r="L116" s="38">
        <f t="shared" si="15"/>
        <v>116.1711854922372</v>
      </c>
      <c r="M116" s="38">
        <f t="shared" si="16"/>
        <v>115.2831503794141</v>
      </c>
      <c r="N116" s="6"/>
      <c r="O116" s="6"/>
    </row>
    <row r="117" spans="2:15">
      <c r="B117">
        <v>118.31</v>
      </c>
      <c r="C117">
        <v>114.75</v>
      </c>
      <c r="D117" s="7">
        <f t="shared" si="9"/>
        <v>116.53</v>
      </c>
      <c r="E117" s="23">
        <v>-1.6973251687789801</v>
      </c>
      <c r="F117" s="25">
        <v>5.2837400275741198</v>
      </c>
      <c r="G117" s="11">
        <f t="shared" si="10"/>
        <v>-17.808864993387612</v>
      </c>
      <c r="H117" s="11">
        <f t="shared" si="11"/>
        <v>70.45419705032225</v>
      </c>
      <c r="I117" s="34">
        <f t="shared" si="12"/>
        <v>7.0968092879246441E-3</v>
      </c>
      <c r="J117" s="34">
        <f t="shared" si="13"/>
        <v>0.05</v>
      </c>
      <c r="K117" s="34">
        <f t="shared" si="14"/>
        <v>0.05</v>
      </c>
      <c r="L117" s="38">
        <f t="shared" si="15"/>
        <v>116.18912621762533</v>
      </c>
      <c r="M117" s="38">
        <f t="shared" si="16"/>
        <v>115.30579977536938</v>
      </c>
      <c r="N117" s="6"/>
      <c r="O117" s="6"/>
    </row>
    <row r="118" spans="2:15">
      <c r="B118">
        <v>121.5</v>
      </c>
      <c r="C118">
        <v>118.87</v>
      </c>
      <c r="D118" s="7">
        <f t="shared" si="9"/>
        <v>120.185</v>
      </c>
      <c r="E118" s="23">
        <v>-6.4197114902003403</v>
      </c>
      <c r="F118" s="25">
        <v>3.10518627838302</v>
      </c>
      <c r="G118" s="11">
        <f t="shared" si="10"/>
        <v>-64.187149650455183</v>
      </c>
      <c r="H118" s="11">
        <f t="shared" si="11"/>
        <v>46.378284657067567</v>
      </c>
      <c r="I118" s="34">
        <f t="shared" si="12"/>
        <v>1.0780907566916777E-2</v>
      </c>
      <c r="J118" s="34">
        <f t="shared" si="13"/>
        <v>0.05</v>
      </c>
      <c r="K118" s="34">
        <f t="shared" si="14"/>
        <v>0.05</v>
      </c>
      <c r="L118" s="38">
        <f t="shared" si="15"/>
        <v>116.38891990674405</v>
      </c>
      <c r="M118" s="38">
        <f t="shared" si="16"/>
        <v>115.33287777865374</v>
      </c>
      <c r="N118" s="6"/>
      <c r="O118" s="6"/>
    </row>
    <row r="119" spans="2:15">
      <c r="B119">
        <v>122</v>
      </c>
      <c r="C119">
        <v>119</v>
      </c>
      <c r="D119" s="7">
        <f t="shared" si="9"/>
        <v>120.5</v>
      </c>
      <c r="E119" s="23">
        <v>-7.8618431867007601</v>
      </c>
      <c r="F119" s="25">
        <v>0.27117508891337699</v>
      </c>
      <c r="G119" s="11">
        <f t="shared" si="10"/>
        <v>-88.024505143486451</v>
      </c>
      <c r="H119" s="11">
        <f t="shared" si="11"/>
        <v>23.837355493031268</v>
      </c>
      <c r="I119" s="34">
        <f t="shared" si="12"/>
        <v>2.097548111602281E-2</v>
      </c>
      <c r="J119" s="34">
        <f t="shared" si="13"/>
        <v>0.05</v>
      </c>
      <c r="K119" s="34">
        <f t="shared" si="14"/>
        <v>0.05</v>
      </c>
      <c r="L119" s="38">
        <f t="shared" si="15"/>
        <v>116.59447391140685</v>
      </c>
      <c r="M119" s="38">
        <f t="shared" si="16"/>
        <v>115.36441768197257</v>
      </c>
      <c r="N119" s="6"/>
      <c r="O119" s="6"/>
    </row>
    <row r="120" spans="2:15">
      <c r="B120">
        <v>121.44</v>
      </c>
      <c r="C120">
        <v>119.75</v>
      </c>
      <c r="D120" s="7">
        <f t="shared" si="9"/>
        <v>120.595</v>
      </c>
      <c r="E120" s="23">
        <v>-3.3124454879439198</v>
      </c>
      <c r="F120" s="25">
        <v>-2.79343035102618</v>
      </c>
      <c r="G120" s="11">
        <f t="shared" si="10"/>
        <v>49.858609098971151</v>
      </c>
      <c r="H120" s="11">
        <f t="shared" si="11"/>
        <v>1</v>
      </c>
      <c r="I120" s="34">
        <f t="shared" si="12"/>
        <v>0.5</v>
      </c>
      <c r="J120" s="34">
        <f t="shared" si="13"/>
        <v>0.5</v>
      </c>
      <c r="K120" s="34">
        <f t="shared" si="14"/>
        <v>0.5</v>
      </c>
      <c r="L120" s="38">
        <f t="shared" si="15"/>
        <v>118.59473695570342</v>
      </c>
      <c r="M120" s="38">
        <f t="shared" si="16"/>
        <v>116.17199750040528</v>
      </c>
      <c r="N120" s="6"/>
      <c r="O120" s="6"/>
    </row>
    <row r="121" spans="2:15">
      <c r="B121">
        <v>125.75</v>
      </c>
      <c r="C121">
        <v>122.62</v>
      </c>
      <c r="D121" s="7">
        <f t="shared" si="9"/>
        <v>124.185</v>
      </c>
      <c r="E121" s="23">
        <v>3.3249576692932301</v>
      </c>
      <c r="F121" s="25">
        <v>-2.2168457469059701</v>
      </c>
      <c r="G121" s="11">
        <f t="shared" si="10"/>
        <v>-56.307459474896952</v>
      </c>
      <c r="H121" s="11">
        <f t="shared" si="11"/>
        <v>106.1660685738681</v>
      </c>
      <c r="I121" s="34">
        <f t="shared" si="12"/>
        <v>4.7096026698220496E-3</v>
      </c>
      <c r="J121" s="34">
        <f t="shared" si="13"/>
        <v>0.05</v>
      </c>
      <c r="K121" s="34">
        <f t="shared" si="14"/>
        <v>0.05</v>
      </c>
      <c r="L121" s="38">
        <f t="shared" si="15"/>
        <v>118.87425010791824</v>
      </c>
      <c r="M121" s="38">
        <f t="shared" si="16"/>
        <v>116.23955381559311</v>
      </c>
      <c r="N121" s="6"/>
      <c r="O121" s="6"/>
    </row>
    <row r="122" spans="2:15">
      <c r="B122">
        <v>127.75</v>
      </c>
      <c r="C122">
        <v>123</v>
      </c>
      <c r="D122" s="7">
        <f t="shared" si="9"/>
        <v>125.375</v>
      </c>
      <c r="E122" s="23">
        <v>7.0699845188049197</v>
      </c>
      <c r="F122" s="25">
        <v>-0.23489313514997801</v>
      </c>
      <c r="G122" s="11">
        <f t="shared" si="10"/>
        <v>-88.097105222592106</v>
      </c>
      <c r="H122" s="11">
        <f t="shared" si="11"/>
        <v>31.789645747695154</v>
      </c>
      <c r="I122" s="34">
        <f t="shared" si="12"/>
        <v>1.5728391689808358E-2</v>
      </c>
      <c r="J122" s="34">
        <f t="shared" si="13"/>
        <v>0.05</v>
      </c>
      <c r="K122" s="34">
        <f t="shared" si="14"/>
        <v>0.05</v>
      </c>
      <c r="L122" s="38">
        <f t="shared" si="15"/>
        <v>119.19928760252232</v>
      </c>
      <c r="M122" s="38">
        <f t="shared" si="16"/>
        <v>116.31354716026634</v>
      </c>
      <c r="N122" s="6"/>
      <c r="O122" s="6"/>
    </row>
    <row r="123" spans="2:15">
      <c r="B123">
        <v>124.19</v>
      </c>
      <c r="C123">
        <v>121.75</v>
      </c>
      <c r="D123" s="7">
        <f t="shared" si="9"/>
        <v>122.97</v>
      </c>
      <c r="E123" s="23">
        <v>8.0288909287338797</v>
      </c>
      <c r="F123" s="25">
        <v>3.19091300048209</v>
      </c>
      <c r="G123" s="11">
        <f t="shared" si="10"/>
        <v>68.325698900254494</v>
      </c>
      <c r="H123" s="11">
        <f t="shared" si="11"/>
        <v>1</v>
      </c>
      <c r="I123" s="34">
        <f t="shared" si="12"/>
        <v>0.5</v>
      </c>
      <c r="J123" s="34">
        <f t="shared" si="13"/>
        <v>0.5</v>
      </c>
      <c r="K123" s="34">
        <f t="shared" si="14"/>
        <v>0.5</v>
      </c>
      <c r="L123" s="38">
        <f t="shared" si="15"/>
        <v>121.08464380126117</v>
      </c>
      <c r="M123" s="38">
        <f t="shared" si="16"/>
        <v>117.50632132051504</v>
      </c>
      <c r="N123" s="6"/>
      <c r="O123" s="6"/>
    </row>
    <row r="124" spans="2:15">
      <c r="B124">
        <v>124.44</v>
      </c>
      <c r="C124">
        <v>121.56</v>
      </c>
      <c r="D124" s="7">
        <f t="shared" si="9"/>
        <v>123</v>
      </c>
      <c r="E124" s="23">
        <v>3.29575032183025</v>
      </c>
      <c r="F124" s="25">
        <v>5.21035903971881</v>
      </c>
      <c r="G124" s="11">
        <f t="shared" si="10"/>
        <v>32.314910009266022</v>
      </c>
      <c r="H124" s="11">
        <f t="shared" si="11"/>
        <v>36.010788890988472</v>
      </c>
      <c r="I124" s="34">
        <f t="shared" si="12"/>
        <v>1.3884727755162359E-2</v>
      </c>
      <c r="J124" s="34">
        <f t="shared" si="13"/>
        <v>0.05</v>
      </c>
      <c r="K124" s="34">
        <f t="shared" si="14"/>
        <v>0.05</v>
      </c>
      <c r="L124" s="38">
        <f t="shared" si="15"/>
        <v>121.18041161119811</v>
      </c>
      <c r="M124" s="38">
        <f t="shared" si="16"/>
        <v>117.59817357778212</v>
      </c>
      <c r="N124" s="6"/>
      <c r="O124" s="6"/>
    </row>
    <row r="125" spans="2:15">
      <c r="B125">
        <v>125.75</v>
      </c>
      <c r="C125">
        <v>123.12</v>
      </c>
      <c r="D125" s="7">
        <f t="shared" si="9"/>
        <v>124.435</v>
      </c>
      <c r="E125" s="23">
        <v>0.55203269984985004</v>
      </c>
      <c r="F125" s="25">
        <v>4.5940903657287704</v>
      </c>
      <c r="G125" s="11">
        <f t="shared" si="10"/>
        <v>6.8518940491884548</v>
      </c>
      <c r="H125" s="11">
        <f t="shared" si="11"/>
        <v>25.463015960077566</v>
      </c>
      <c r="I125" s="34">
        <f t="shared" si="12"/>
        <v>1.9636322766475495E-2</v>
      </c>
      <c r="J125" s="34">
        <f t="shared" si="13"/>
        <v>0.05</v>
      </c>
      <c r="K125" s="34">
        <f t="shared" si="14"/>
        <v>0.05</v>
      </c>
      <c r="L125" s="38">
        <f t="shared" si="15"/>
        <v>121.34314103063819</v>
      </c>
      <c r="M125" s="38">
        <f t="shared" si="16"/>
        <v>117.69179776410353</v>
      </c>
      <c r="N125" s="6"/>
      <c r="O125" s="6"/>
    </row>
    <row r="126" spans="2:15">
      <c r="B126">
        <v>124.69</v>
      </c>
      <c r="C126">
        <v>122.19</v>
      </c>
      <c r="D126" s="7">
        <f t="shared" si="9"/>
        <v>123.44</v>
      </c>
      <c r="E126" s="23">
        <v>0.68190519005723005</v>
      </c>
      <c r="F126" s="25">
        <v>5.0767034941261704</v>
      </c>
      <c r="G126" s="11">
        <f t="shared" si="10"/>
        <v>7.6502069011342364</v>
      </c>
      <c r="H126" s="11">
        <f t="shared" si="11"/>
        <v>1</v>
      </c>
      <c r="I126" s="34">
        <f t="shared" si="12"/>
        <v>0.5</v>
      </c>
      <c r="J126" s="34">
        <f t="shared" si="13"/>
        <v>0.5</v>
      </c>
      <c r="K126" s="34">
        <f t="shared" si="14"/>
        <v>0.5</v>
      </c>
      <c r="L126" s="38">
        <f t="shared" si="15"/>
        <v>122.3915705153191</v>
      </c>
      <c r="M126" s="38">
        <f t="shared" si="16"/>
        <v>118.86674095190742</v>
      </c>
      <c r="N126" s="6"/>
      <c r="O126" s="6"/>
    </row>
    <row r="127" spans="2:15">
      <c r="B127">
        <v>125.31</v>
      </c>
      <c r="C127">
        <v>122.75</v>
      </c>
      <c r="D127" s="7">
        <f t="shared" si="9"/>
        <v>124.03</v>
      </c>
      <c r="E127" s="23">
        <v>-3.3351658032068898</v>
      </c>
      <c r="F127" s="25">
        <v>5.5222273297045303</v>
      </c>
      <c r="G127" s="11">
        <f t="shared" si="10"/>
        <v>-31.130003369294087</v>
      </c>
      <c r="H127" s="11">
        <f t="shared" si="11"/>
        <v>38.780210270428327</v>
      </c>
      <c r="I127" s="34">
        <f t="shared" si="12"/>
        <v>1.289317403163419E-2</v>
      </c>
      <c r="J127" s="34">
        <f t="shared" si="13"/>
        <v>0.05</v>
      </c>
      <c r="K127" s="34">
        <f t="shared" si="14"/>
        <v>0.05</v>
      </c>
      <c r="L127" s="38">
        <f t="shared" si="15"/>
        <v>122.47349198955314</v>
      </c>
      <c r="M127" s="38">
        <f t="shared" si="16"/>
        <v>118.95690972784855</v>
      </c>
      <c r="N127" s="6"/>
      <c r="O127" s="6"/>
    </row>
    <row r="128" spans="2:15">
      <c r="B128">
        <v>132</v>
      </c>
      <c r="C128">
        <v>124.37</v>
      </c>
      <c r="D128" s="7">
        <f t="shared" si="9"/>
        <v>128.185</v>
      </c>
      <c r="E128" s="23">
        <v>-6.4491676407127301</v>
      </c>
      <c r="F128" s="25">
        <v>3.1838267815369901</v>
      </c>
      <c r="G128" s="11">
        <f t="shared" si="10"/>
        <v>-63.725355834523079</v>
      </c>
      <c r="H128" s="11">
        <f t="shared" si="11"/>
        <v>32.595352465228991</v>
      </c>
      <c r="I128" s="34">
        <f t="shared" si="12"/>
        <v>1.533961016477345E-2</v>
      </c>
      <c r="J128" s="34">
        <f t="shared" si="13"/>
        <v>0.05</v>
      </c>
      <c r="K128" s="34">
        <f t="shared" si="14"/>
        <v>0.05</v>
      </c>
      <c r="L128" s="38">
        <f t="shared" si="15"/>
        <v>122.75906739007547</v>
      </c>
      <c r="M128" s="38">
        <f t="shared" si="16"/>
        <v>119.05196366940423</v>
      </c>
      <c r="N128" s="6"/>
      <c r="O128" s="6"/>
    </row>
    <row r="129" spans="2:15">
      <c r="B129">
        <v>131.31</v>
      </c>
      <c r="C129">
        <v>128</v>
      </c>
      <c r="D129" s="7">
        <f t="shared" si="9"/>
        <v>129.655</v>
      </c>
      <c r="E129" s="23">
        <v>-3.8171050184627799</v>
      </c>
      <c r="F129" s="25">
        <v>0.77593955383115298</v>
      </c>
      <c r="G129" s="11">
        <f t="shared" si="10"/>
        <v>-78.509502364545455</v>
      </c>
      <c r="H129" s="11">
        <f t="shared" si="11"/>
        <v>14.784146530022376</v>
      </c>
      <c r="I129" s="34">
        <f t="shared" si="12"/>
        <v>3.3820011116951723E-2</v>
      </c>
      <c r="J129" s="34">
        <f t="shared" si="13"/>
        <v>0.05</v>
      </c>
      <c r="K129" s="34">
        <f t="shared" si="14"/>
        <v>0.05</v>
      </c>
      <c r="L129" s="38">
        <f t="shared" si="15"/>
        <v>123.10386402057169</v>
      </c>
      <c r="M129" s="38">
        <f t="shared" si="16"/>
        <v>119.15326117818341</v>
      </c>
      <c r="N129" s="6"/>
      <c r="O129" s="6"/>
    </row>
    <row r="130" spans="2:15">
      <c r="B130">
        <v>132.25</v>
      </c>
      <c r="C130">
        <v>129.5</v>
      </c>
      <c r="D130" s="7">
        <f t="shared" si="9"/>
        <v>130.875</v>
      </c>
      <c r="E130" s="23">
        <v>-0.79981511906053404</v>
      </c>
      <c r="F130" s="25">
        <v>0.52204774598159298</v>
      </c>
      <c r="G130" s="11">
        <f t="shared" si="10"/>
        <v>-56.867092497683068</v>
      </c>
      <c r="H130" s="11">
        <f t="shared" si="11"/>
        <v>1</v>
      </c>
      <c r="I130" s="34">
        <f t="shared" si="12"/>
        <v>0.5</v>
      </c>
      <c r="J130" s="34">
        <f t="shared" si="13"/>
        <v>0.5</v>
      </c>
      <c r="K130" s="34">
        <f t="shared" si="14"/>
        <v>0.5</v>
      </c>
      <c r="L130" s="38">
        <f t="shared" si="15"/>
        <v>126.98943201028584</v>
      </c>
      <c r="M130" s="38">
        <f t="shared" si="16"/>
        <v>121.11230388620902</v>
      </c>
      <c r="N130" s="6"/>
      <c r="O130" s="6"/>
    </row>
    <row r="131" spans="2:15">
      <c r="B131">
        <v>133.88</v>
      </c>
      <c r="C131">
        <v>130.81</v>
      </c>
      <c r="D131" s="7">
        <f t="shared" si="9"/>
        <v>132.345</v>
      </c>
      <c r="E131" s="23">
        <v>0.62894469491497396</v>
      </c>
      <c r="F131" s="25">
        <v>0.425699188901555</v>
      </c>
      <c r="G131" s="11">
        <f t="shared" si="10"/>
        <v>55.908020134252652</v>
      </c>
      <c r="H131" s="11">
        <f t="shared" si="11"/>
        <v>1</v>
      </c>
      <c r="I131" s="34">
        <f t="shared" si="12"/>
        <v>0.5</v>
      </c>
      <c r="J131" s="34">
        <f t="shared" si="13"/>
        <v>0.5</v>
      </c>
      <c r="K131" s="34">
        <f t="shared" si="14"/>
        <v>0.5</v>
      </c>
      <c r="L131" s="38">
        <f t="shared" si="15"/>
        <v>129.6672160051429</v>
      </c>
      <c r="M131" s="38">
        <f t="shared" si="16"/>
        <v>123.25103191594249</v>
      </c>
      <c r="N131" s="6"/>
      <c r="O131" s="6"/>
    </row>
    <row r="132" spans="2:15">
      <c r="B132">
        <v>133.5</v>
      </c>
      <c r="C132">
        <v>130.63</v>
      </c>
      <c r="D132" s="7">
        <f t="shared" si="9"/>
        <v>132.065</v>
      </c>
      <c r="E132" s="23">
        <v>4.0802162391266004</v>
      </c>
      <c r="F132" s="25">
        <v>0.73768886852083504</v>
      </c>
      <c r="G132" s="11">
        <f t="shared" si="10"/>
        <v>79.75182781821681</v>
      </c>
      <c r="H132" s="11">
        <f t="shared" si="11"/>
        <v>1</v>
      </c>
      <c r="I132" s="34">
        <f t="shared" si="12"/>
        <v>0.5</v>
      </c>
      <c r="J132" s="34">
        <f t="shared" si="13"/>
        <v>0.5</v>
      </c>
      <c r="K132" s="34">
        <f t="shared" si="14"/>
        <v>0.5</v>
      </c>
      <c r="L132" s="38">
        <f t="shared" si="15"/>
        <v>130.86610800257145</v>
      </c>
      <c r="M132" s="38">
        <f t="shared" si="16"/>
        <v>125.15480093759973</v>
      </c>
      <c r="N132" s="6"/>
      <c r="O132" s="6"/>
    </row>
    <row r="133" spans="2:15">
      <c r="B133">
        <v>135.5</v>
      </c>
      <c r="C133">
        <v>132.13</v>
      </c>
      <c r="D133" s="7">
        <f t="shared" si="9"/>
        <v>133.815</v>
      </c>
      <c r="E133" s="23">
        <v>6.3340447537748599</v>
      </c>
      <c r="F133" s="25">
        <v>3.2457605730768302</v>
      </c>
      <c r="G133" s="11">
        <f t="shared" si="10"/>
        <v>62.86799374167169</v>
      </c>
      <c r="H133" s="11">
        <f t="shared" si="11"/>
        <v>16.883834076545121</v>
      </c>
      <c r="I133" s="34">
        <f t="shared" si="12"/>
        <v>2.9614126609701513E-2</v>
      </c>
      <c r="J133" s="34">
        <f t="shared" si="13"/>
        <v>0.05</v>
      </c>
      <c r="K133" s="34">
        <f t="shared" si="14"/>
        <v>0.05</v>
      </c>
      <c r="L133" s="38">
        <f t="shared" si="15"/>
        <v>131.01355260244287</v>
      </c>
      <c r="M133" s="38">
        <f t="shared" si="16"/>
        <v>125.30126972922081</v>
      </c>
      <c r="N133" s="6"/>
      <c r="O133" s="6"/>
    </row>
    <row r="134" spans="2:15">
      <c r="B134">
        <v>137.44</v>
      </c>
      <c r="C134">
        <v>133.88</v>
      </c>
      <c r="D134" s="7">
        <f t="shared" ref="D134:D197" si="17">(B134+C134)/2</f>
        <v>135.66</v>
      </c>
      <c r="E134" s="23">
        <v>3.7866927527037202</v>
      </c>
      <c r="F134" s="25">
        <v>5.3160183015264604</v>
      </c>
      <c r="G134" s="11">
        <f t="shared" si="10"/>
        <v>35.462935169455839</v>
      </c>
      <c r="H134" s="11">
        <f t="shared" si="11"/>
        <v>27.40505857221585</v>
      </c>
      <c r="I134" s="34">
        <f t="shared" si="12"/>
        <v>1.8244806836753724E-2</v>
      </c>
      <c r="J134" s="34">
        <f t="shared" si="13"/>
        <v>0.05</v>
      </c>
      <c r="K134" s="34">
        <f t="shared" si="14"/>
        <v>0.05</v>
      </c>
      <c r="L134" s="38">
        <f t="shared" si="15"/>
        <v>131.24587497232071</v>
      </c>
      <c r="M134" s="38">
        <f t="shared" si="16"/>
        <v>125.4498848602983</v>
      </c>
      <c r="N134" s="6"/>
      <c r="O134" s="6"/>
    </row>
    <row r="135" spans="2:15">
      <c r="B135">
        <v>138.69</v>
      </c>
      <c r="C135">
        <v>135.38</v>
      </c>
      <c r="D135" s="7">
        <f t="shared" si="17"/>
        <v>137.035</v>
      </c>
      <c r="E135" s="23">
        <v>1.2936561911823601</v>
      </c>
      <c r="F135" s="25">
        <v>5.6380698494261496</v>
      </c>
      <c r="G135" s="11">
        <f t="shared" si="10"/>
        <v>12.922841781159292</v>
      </c>
      <c r="H135" s="11">
        <f t="shared" si="11"/>
        <v>22.540093388296548</v>
      </c>
      <c r="I135" s="34">
        <f t="shared" si="12"/>
        <v>2.2182694250043086E-2</v>
      </c>
      <c r="J135" s="34">
        <f t="shared" si="13"/>
        <v>0.05</v>
      </c>
      <c r="K135" s="34">
        <f t="shared" si="14"/>
        <v>0.05</v>
      </c>
      <c r="L135" s="38">
        <f t="shared" si="15"/>
        <v>131.53533122370467</v>
      </c>
      <c r="M135" s="38">
        <f t="shared" si="16"/>
        <v>125.60202101938344</v>
      </c>
      <c r="N135" s="6"/>
      <c r="O135" s="6"/>
    </row>
    <row r="136" spans="2:15">
      <c r="B136">
        <v>139.19</v>
      </c>
      <c r="C136">
        <v>135.75</v>
      </c>
      <c r="D136" s="7">
        <f t="shared" si="17"/>
        <v>137.47</v>
      </c>
      <c r="E136" s="23">
        <v>-0.97790960691234796</v>
      </c>
      <c r="F136" s="25">
        <v>5.76402925082688</v>
      </c>
      <c r="G136" s="11">
        <f t="shared" si="10"/>
        <v>-9.6289601747961235</v>
      </c>
      <c r="H136" s="11">
        <f t="shared" si="11"/>
        <v>22.551801955955415</v>
      </c>
      <c r="I136" s="34">
        <f t="shared" si="12"/>
        <v>2.2171177317738083E-2</v>
      </c>
      <c r="J136" s="34">
        <f t="shared" si="13"/>
        <v>0.05</v>
      </c>
      <c r="K136" s="34">
        <f t="shared" si="14"/>
        <v>0.05</v>
      </c>
      <c r="L136" s="38">
        <f t="shared" si="15"/>
        <v>131.83206466251943</v>
      </c>
      <c r="M136" s="38">
        <f t="shared" si="16"/>
        <v>125.75777211046184</v>
      </c>
      <c r="N136" s="6"/>
      <c r="O136" s="6"/>
    </row>
    <row r="137" spans="2:15">
      <c r="B137">
        <v>138.5</v>
      </c>
      <c r="C137">
        <v>136.19</v>
      </c>
      <c r="D137" s="7">
        <f t="shared" si="17"/>
        <v>137.345</v>
      </c>
      <c r="E137" s="23">
        <v>-2.47329790913507</v>
      </c>
      <c r="F137" s="25">
        <v>4.6386673760300301</v>
      </c>
      <c r="G137" s="11">
        <f t="shared" si="10"/>
        <v>-28.06615871127395</v>
      </c>
      <c r="H137" s="11">
        <f t="shared" si="11"/>
        <v>18.437198536477826</v>
      </c>
      <c r="I137" s="34">
        <f t="shared" si="12"/>
        <v>2.7119087480169758E-2</v>
      </c>
      <c r="J137" s="34">
        <f t="shared" si="13"/>
        <v>0.05</v>
      </c>
      <c r="K137" s="34">
        <f t="shared" si="14"/>
        <v>0.05</v>
      </c>
      <c r="L137" s="38">
        <f t="shared" si="15"/>
        <v>132.10771142939345</v>
      </c>
      <c r="M137" s="38">
        <f t="shared" si="16"/>
        <v>125.91652059343512</v>
      </c>
      <c r="N137" s="6"/>
      <c r="O137" s="6"/>
    </row>
    <row r="138" spans="2:15">
      <c r="B138">
        <v>138.13</v>
      </c>
      <c r="C138">
        <v>134.5</v>
      </c>
      <c r="D138" s="7">
        <f t="shared" si="17"/>
        <v>136.315</v>
      </c>
      <c r="E138" s="23">
        <v>0.375762491738102</v>
      </c>
      <c r="F138" s="25">
        <v>4.01638552492388</v>
      </c>
      <c r="G138" s="11">
        <f t="shared" si="10"/>
        <v>5.3448844750973095</v>
      </c>
      <c r="H138" s="11">
        <f t="shared" si="11"/>
        <v>1</v>
      </c>
      <c r="I138" s="34">
        <f t="shared" si="12"/>
        <v>0.5</v>
      </c>
      <c r="J138" s="34">
        <f t="shared" si="13"/>
        <v>0.5</v>
      </c>
      <c r="K138" s="34">
        <f t="shared" si="14"/>
        <v>0.5</v>
      </c>
      <c r="L138" s="38">
        <f t="shared" si="15"/>
        <v>134.21135571469671</v>
      </c>
      <c r="M138" s="38">
        <f t="shared" si="16"/>
        <v>127.99022937375052</v>
      </c>
      <c r="N138" s="6"/>
      <c r="O138" s="6"/>
    </row>
    <row r="139" spans="2:15">
      <c r="B139">
        <v>137.5</v>
      </c>
      <c r="C139">
        <v>135.38</v>
      </c>
      <c r="D139" s="7">
        <f t="shared" si="17"/>
        <v>136.44</v>
      </c>
      <c r="E139" s="23">
        <v>1.45138327471354</v>
      </c>
      <c r="F139" s="25">
        <v>5.04836196196446</v>
      </c>
      <c r="G139" s="11">
        <f t="shared" si="10"/>
        <v>16.039725373062826</v>
      </c>
      <c r="H139" s="11">
        <f t="shared" si="11"/>
        <v>1</v>
      </c>
      <c r="I139" s="34">
        <f t="shared" si="12"/>
        <v>0.5</v>
      </c>
      <c r="J139" s="34">
        <f t="shared" si="13"/>
        <v>0.5</v>
      </c>
      <c r="K139" s="34">
        <f t="shared" si="14"/>
        <v>0.5</v>
      </c>
      <c r="L139" s="38">
        <f t="shared" si="15"/>
        <v>135.32567785734835</v>
      </c>
      <c r="M139" s="38">
        <f t="shared" si="16"/>
        <v>129.82409149464996</v>
      </c>
      <c r="N139" s="6"/>
      <c r="O139" s="6"/>
    </row>
    <row r="140" spans="2:15">
      <c r="B140">
        <v>138.88</v>
      </c>
      <c r="C140">
        <v>133.69</v>
      </c>
      <c r="D140" s="7">
        <f t="shared" si="17"/>
        <v>136.285</v>
      </c>
      <c r="E140" s="23">
        <v>-1.2208721704948</v>
      </c>
      <c r="F140" s="25">
        <v>5.4864399280582203</v>
      </c>
      <c r="G140" s="11">
        <f t="shared" si="10"/>
        <v>-12.545359316057231</v>
      </c>
      <c r="H140" s="11">
        <f t="shared" si="11"/>
        <v>28.585084689120059</v>
      </c>
      <c r="I140" s="34">
        <f t="shared" si="12"/>
        <v>1.7491639623873775E-2</v>
      </c>
      <c r="J140" s="34">
        <f t="shared" si="13"/>
        <v>0.05</v>
      </c>
      <c r="K140" s="34">
        <f t="shared" si="14"/>
        <v>0.05</v>
      </c>
      <c r="L140" s="38">
        <f t="shared" si="15"/>
        <v>135.37364396448092</v>
      </c>
      <c r="M140" s="38">
        <f t="shared" si="16"/>
        <v>129.96283030639574</v>
      </c>
      <c r="N140" s="6"/>
      <c r="O140" s="6"/>
    </row>
    <row r="141" spans="2:15">
      <c r="B141">
        <v>132.13</v>
      </c>
      <c r="C141">
        <v>126.06</v>
      </c>
      <c r="D141" s="7">
        <f t="shared" si="17"/>
        <v>129.095</v>
      </c>
      <c r="E141" s="23">
        <v>-4.6045148975926598</v>
      </c>
      <c r="F141" s="25">
        <v>4.7945029548795599</v>
      </c>
      <c r="G141" s="11">
        <f t="shared" si="10"/>
        <v>-43.842003302452909</v>
      </c>
      <c r="H141" s="11">
        <f t="shared" si="11"/>
        <v>31.296643986395679</v>
      </c>
      <c r="I141" s="34">
        <f t="shared" si="12"/>
        <v>1.5976153871876637E-2</v>
      </c>
      <c r="J141" s="34">
        <f t="shared" si="13"/>
        <v>0.05</v>
      </c>
      <c r="K141" s="34">
        <f t="shared" si="14"/>
        <v>0.05</v>
      </c>
      <c r="L141" s="38">
        <f t="shared" si="15"/>
        <v>135.05971176625687</v>
      </c>
      <c r="M141" s="38">
        <f t="shared" si="16"/>
        <v>130.09025234289228</v>
      </c>
      <c r="N141" s="6"/>
      <c r="O141" s="6"/>
    </row>
    <row r="142" spans="2:15">
      <c r="B142">
        <v>129.75</v>
      </c>
      <c r="C142">
        <v>126.87</v>
      </c>
      <c r="D142" s="7">
        <f t="shared" si="17"/>
        <v>128.31</v>
      </c>
      <c r="E142" s="23">
        <v>-7.6075451851309097</v>
      </c>
      <c r="F142" s="25">
        <v>3.23344271391578</v>
      </c>
      <c r="G142" s="11">
        <f t="shared" si="10"/>
        <v>-66.973002452146275</v>
      </c>
      <c r="H142" s="11">
        <f t="shared" si="11"/>
        <v>23.130999149693366</v>
      </c>
      <c r="I142" s="34">
        <f t="shared" si="12"/>
        <v>2.1616013937151013E-2</v>
      </c>
      <c r="J142" s="34">
        <f t="shared" si="13"/>
        <v>0.05</v>
      </c>
      <c r="K142" s="34">
        <f t="shared" si="14"/>
        <v>0.05</v>
      </c>
      <c r="L142" s="38">
        <f t="shared" si="15"/>
        <v>134.72222617794404</v>
      </c>
      <c r="M142" s="38">
        <f t="shared" si="16"/>
        <v>130.20605168876858</v>
      </c>
      <c r="N142" s="6"/>
      <c r="O142" s="6"/>
    </row>
    <row r="143" spans="2:15">
      <c r="B143">
        <v>128.5</v>
      </c>
      <c r="C143">
        <v>123.5</v>
      </c>
      <c r="D143" s="7">
        <f t="shared" si="17"/>
        <v>126</v>
      </c>
      <c r="E143" s="23">
        <v>-10.226115513808899</v>
      </c>
      <c r="F143" s="25">
        <v>1.01448232640165</v>
      </c>
      <c r="G143" s="11">
        <f t="shared" si="10"/>
        <v>-84.33450657790884</v>
      </c>
      <c r="H143" s="11">
        <f t="shared" si="11"/>
        <v>17.361504125762565</v>
      </c>
      <c r="I143" s="34">
        <f t="shared" si="12"/>
        <v>2.8799348050613596E-2</v>
      </c>
      <c r="J143" s="34">
        <f t="shared" si="13"/>
        <v>0.05</v>
      </c>
      <c r="K143" s="34">
        <f t="shared" si="14"/>
        <v>0.05</v>
      </c>
      <c r="L143" s="38">
        <f t="shared" si="15"/>
        <v>134.28611486904683</v>
      </c>
      <c r="M143" s="38">
        <f t="shared" si="16"/>
        <v>130.30805326827553</v>
      </c>
      <c r="N143" s="6"/>
      <c r="O143" s="6"/>
    </row>
    <row r="144" spans="2:15">
      <c r="B144">
        <v>125.44</v>
      </c>
      <c r="C144">
        <v>122.62</v>
      </c>
      <c r="D144" s="7">
        <f t="shared" si="17"/>
        <v>124.03</v>
      </c>
      <c r="E144" s="23">
        <v>-9.2950047086483103</v>
      </c>
      <c r="F144" s="25">
        <v>-1.1883116131131</v>
      </c>
      <c r="G144" s="11">
        <f t="shared" si="10"/>
        <v>82.714591670003145</v>
      </c>
      <c r="H144" s="11">
        <f t="shared" si="11"/>
        <v>1</v>
      </c>
      <c r="I144" s="34">
        <f t="shared" si="12"/>
        <v>0.5</v>
      </c>
      <c r="J144" s="34">
        <f t="shared" si="13"/>
        <v>0.5</v>
      </c>
      <c r="K144" s="34">
        <f t="shared" si="14"/>
        <v>0.5</v>
      </c>
      <c r="L144" s="38">
        <f t="shared" si="15"/>
        <v>129.15805743452341</v>
      </c>
      <c r="M144" s="38">
        <f t="shared" si="16"/>
        <v>130.02055430983751</v>
      </c>
      <c r="N144" s="6"/>
      <c r="O144" s="6"/>
    </row>
    <row r="145" spans="2:15">
      <c r="B145">
        <v>125.12</v>
      </c>
      <c r="C145">
        <v>122.75</v>
      </c>
      <c r="D145" s="7">
        <f t="shared" si="17"/>
        <v>123.935</v>
      </c>
      <c r="E145" s="23">
        <v>-13.796793690764201</v>
      </c>
      <c r="F145" s="25">
        <v>-2.17783352530626</v>
      </c>
      <c r="G145" s="11">
        <f t="shared" ref="G145:G208" si="18">IF(F145&lt;&gt;0,DEGREES(ATAN(E145/F145)),0)</f>
        <v>81.029835220686621</v>
      </c>
      <c r="H145" s="11">
        <f t="shared" si="11"/>
        <v>1.6847564493165237</v>
      </c>
      <c r="I145" s="34">
        <f t="shared" si="12"/>
        <v>0.29677880159048586</v>
      </c>
      <c r="J145" s="34">
        <f t="shared" si="13"/>
        <v>0.29677880159048586</v>
      </c>
      <c r="K145" s="34">
        <f t="shared" si="14"/>
        <v>0.29677880159048586</v>
      </c>
      <c r="L145" s="38">
        <f t="shared" si="15"/>
        <v>127.60796470846728</v>
      </c>
      <c r="M145" s="38">
        <f t="shared" si="16"/>
        <v>129.66255158452535</v>
      </c>
      <c r="N145" s="6"/>
      <c r="O145" s="6"/>
    </row>
    <row r="146" spans="2:15">
      <c r="B146">
        <v>126.5</v>
      </c>
      <c r="C146">
        <v>123.56</v>
      </c>
      <c r="D146" s="7">
        <f t="shared" si="17"/>
        <v>125.03</v>
      </c>
      <c r="E146" s="23">
        <v>-18.583259293149901</v>
      </c>
      <c r="F146" s="25">
        <v>-7.3450440684820304</v>
      </c>
      <c r="G146" s="11">
        <f t="shared" si="18"/>
        <v>68.433561563243202</v>
      </c>
      <c r="H146" s="11">
        <f t="shared" ref="H146:H209" si="19">IF( (G145-G146) &lt; 1, 1, (G145-G146))</f>
        <v>12.596273657443419</v>
      </c>
      <c r="I146" s="34">
        <f t="shared" si="12"/>
        <v>3.9694278927049104E-2</v>
      </c>
      <c r="J146" s="34">
        <f t="shared" si="13"/>
        <v>0.05</v>
      </c>
      <c r="K146" s="34">
        <f t="shared" si="14"/>
        <v>0.05</v>
      </c>
      <c r="L146" s="38">
        <f t="shared" si="15"/>
        <v>127.4790664730439</v>
      </c>
      <c r="M146" s="38">
        <f t="shared" si="16"/>
        <v>129.6079644567383</v>
      </c>
      <c r="N146" s="6"/>
      <c r="O146" s="6"/>
    </row>
    <row r="147" spans="2:15">
      <c r="B147">
        <v>128.69</v>
      </c>
      <c r="C147">
        <v>125.81</v>
      </c>
      <c r="D147" s="7">
        <f t="shared" si="17"/>
        <v>127.25</v>
      </c>
      <c r="E147" s="23">
        <v>-8.2047258569042594</v>
      </c>
      <c r="F147" s="25">
        <v>-11.504177671151201</v>
      </c>
      <c r="G147" s="11">
        <f t="shared" si="18"/>
        <v>35.496288477249372</v>
      </c>
      <c r="H147" s="11">
        <f t="shared" si="19"/>
        <v>32.93727308599383</v>
      </c>
      <c r="I147" s="34">
        <f t="shared" si="12"/>
        <v>1.518037023570779E-2</v>
      </c>
      <c r="J147" s="34">
        <f t="shared" si="13"/>
        <v>0.05</v>
      </c>
      <c r="K147" s="34">
        <f t="shared" si="14"/>
        <v>0.05</v>
      </c>
      <c r="L147" s="38">
        <f t="shared" si="15"/>
        <v>127.4676131493917</v>
      </c>
      <c r="M147" s="38">
        <f t="shared" si="16"/>
        <v>129.55445567405462</v>
      </c>
      <c r="N147" s="6"/>
      <c r="O147" s="6"/>
    </row>
    <row r="148" spans="2:15">
      <c r="B148">
        <v>126.62</v>
      </c>
      <c r="C148">
        <v>124.62</v>
      </c>
      <c r="D148" s="7">
        <f t="shared" si="17"/>
        <v>125.62</v>
      </c>
      <c r="E148" s="23">
        <v>-0.109398379500126</v>
      </c>
      <c r="F148" s="25">
        <v>-11.3721718901381</v>
      </c>
      <c r="G148" s="11">
        <f t="shared" si="18"/>
        <v>0.55115875409393777</v>
      </c>
      <c r="H148" s="11">
        <f t="shared" si="19"/>
        <v>34.945129723155432</v>
      </c>
      <c r="I148" s="34">
        <f t="shared" si="12"/>
        <v>1.4308145482965219E-2</v>
      </c>
      <c r="J148" s="34">
        <f t="shared" si="13"/>
        <v>0.05</v>
      </c>
      <c r="K148" s="34">
        <f t="shared" si="14"/>
        <v>0.05</v>
      </c>
      <c r="L148" s="38">
        <f t="shared" si="15"/>
        <v>127.37523249192211</v>
      </c>
      <c r="M148" s="38">
        <f t="shared" si="16"/>
        <v>129.49997509450131</v>
      </c>
      <c r="N148" s="6"/>
      <c r="O148" s="6"/>
    </row>
    <row r="149" spans="2:15">
      <c r="B149">
        <v>126.69</v>
      </c>
      <c r="C149">
        <v>124.37</v>
      </c>
      <c r="D149" s="7">
        <f t="shared" si="17"/>
        <v>125.53</v>
      </c>
      <c r="E149" s="23">
        <v>8.4549848795148996</v>
      </c>
      <c r="F149" s="25">
        <v>-11.3355915978459</v>
      </c>
      <c r="G149" s="11">
        <f t="shared" si="18"/>
        <v>-36.718501048166381</v>
      </c>
      <c r="H149" s="11">
        <f t="shared" si="19"/>
        <v>37.269659802260321</v>
      </c>
      <c r="I149" s="34">
        <f t="shared" si="12"/>
        <v>1.3415738234607554E-2</v>
      </c>
      <c r="J149" s="34">
        <f t="shared" si="13"/>
        <v>0.05</v>
      </c>
      <c r="K149" s="34">
        <f t="shared" si="14"/>
        <v>0.05</v>
      </c>
      <c r="L149" s="38">
        <f t="shared" si="15"/>
        <v>127.282970867326</v>
      </c>
      <c r="M149" s="38">
        <f t="shared" si="16"/>
        <v>129.44454998882193</v>
      </c>
      <c r="N149" s="6"/>
      <c r="O149" s="6"/>
    </row>
    <row r="150" spans="2:15">
      <c r="B150">
        <v>126</v>
      </c>
      <c r="C150">
        <v>121.81</v>
      </c>
      <c r="D150" s="7">
        <f t="shared" si="17"/>
        <v>123.905</v>
      </c>
      <c r="E150" s="23">
        <v>16.5608264652377</v>
      </c>
      <c r="F150" s="25">
        <v>-7.7462097429977597</v>
      </c>
      <c r="G150" s="11">
        <f t="shared" si="18"/>
        <v>-64.932489102473255</v>
      </c>
      <c r="H150" s="11">
        <f t="shared" si="19"/>
        <v>28.213988054306874</v>
      </c>
      <c r="I150" s="34">
        <f t="shared" si="12"/>
        <v>1.7721705950877614E-2</v>
      </c>
      <c r="J150" s="34">
        <f t="shared" si="13"/>
        <v>0.05</v>
      </c>
      <c r="K150" s="34">
        <f t="shared" si="14"/>
        <v>0.05</v>
      </c>
      <c r="L150" s="38">
        <f t="shared" si="15"/>
        <v>127.11407232395969</v>
      </c>
      <c r="M150" s="38">
        <f t="shared" si="16"/>
        <v>129.38628804720037</v>
      </c>
      <c r="N150" s="6"/>
      <c r="O150" s="6"/>
    </row>
    <row r="151" spans="2:15">
      <c r="B151">
        <v>123.12</v>
      </c>
      <c r="C151">
        <v>118.19</v>
      </c>
      <c r="D151" s="7">
        <f t="shared" si="17"/>
        <v>120.655</v>
      </c>
      <c r="E151" s="23">
        <v>16.1619937173412</v>
      </c>
      <c r="F151" s="25">
        <v>-3.59743510589196</v>
      </c>
      <c r="G151" s="11">
        <f t="shared" si="18"/>
        <v>-77.451326423180063</v>
      </c>
      <c r="H151" s="11">
        <f t="shared" si="19"/>
        <v>12.518837320706808</v>
      </c>
      <c r="I151" s="34">
        <f t="shared" si="12"/>
        <v>3.9939811277280038E-2</v>
      </c>
      <c r="J151" s="34">
        <f t="shared" si="13"/>
        <v>0.05</v>
      </c>
      <c r="K151" s="34">
        <f t="shared" si="14"/>
        <v>0.05</v>
      </c>
      <c r="L151" s="38">
        <f t="shared" si="15"/>
        <v>126.79111870776171</v>
      </c>
      <c r="M151" s="38">
        <f t="shared" si="16"/>
        <v>129.32140881371438</v>
      </c>
      <c r="N151" s="6"/>
      <c r="O151" s="6"/>
    </row>
    <row r="152" spans="2:15">
      <c r="B152">
        <v>121.87</v>
      </c>
      <c r="C152">
        <v>118.06</v>
      </c>
      <c r="D152" s="7">
        <f t="shared" si="17"/>
        <v>119.965</v>
      </c>
      <c r="E152" s="23">
        <v>10.372170733547501</v>
      </c>
      <c r="F152" s="25">
        <v>0.63099850070441899</v>
      </c>
      <c r="G152" s="11">
        <f t="shared" si="18"/>
        <v>86.51866042070084</v>
      </c>
      <c r="H152" s="11">
        <f t="shared" si="19"/>
        <v>1</v>
      </c>
      <c r="I152" s="34">
        <f t="shared" si="12"/>
        <v>0.5</v>
      </c>
      <c r="J152" s="34">
        <f t="shared" si="13"/>
        <v>0.5</v>
      </c>
      <c r="K152" s="34">
        <f t="shared" si="14"/>
        <v>0.5</v>
      </c>
      <c r="L152" s="38">
        <f t="shared" si="15"/>
        <v>123.37805935388086</v>
      </c>
      <c r="M152" s="38">
        <f t="shared" si="16"/>
        <v>127.83557144875601</v>
      </c>
      <c r="N152" s="6"/>
      <c r="O152" s="6"/>
    </row>
    <row r="153" spans="2:15">
      <c r="B153">
        <v>124</v>
      </c>
      <c r="C153">
        <v>117.56</v>
      </c>
      <c r="D153" s="7">
        <f t="shared" si="17"/>
        <v>120.78</v>
      </c>
      <c r="E153" s="23">
        <v>-0.32334635818226798</v>
      </c>
      <c r="F153" s="25">
        <v>1.78300604444141</v>
      </c>
      <c r="G153" s="11">
        <f t="shared" si="18"/>
        <v>-10.278822257345023</v>
      </c>
      <c r="H153" s="11">
        <f t="shared" si="19"/>
        <v>96.797482678045867</v>
      </c>
      <c r="I153" s="34">
        <f t="shared" si="12"/>
        <v>5.1654235850639779E-3</v>
      </c>
      <c r="J153" s="34">
        <f t="shared" si="13"/>
        <v>0.05</v>
      </c>
      <c r="K153" s="34">
        <f t="shared" si="14"/>
        <v>0.05</v>
      </c>
      <c r="L153" s="38">
        <f t="shared" si="15"/>
        <v>123.24815638618681</v>
      </c>
      <c r="M153" s="38">
        <f t="shared" si="16"/>
        <v>127.72088607219179</v>
      </c>
      <c r="N153" s="6"/>
      <c r="O153" s="6"/>
    </row>
    <row r="154" spans="2:15">
      <c r="B154">
        <v>127</v>
      </c>
      <c r="C154">
        <v>121</v>
      </c>
      <c r="D154" s="7">
        <f t="shared" si="17"/>
        <v>124</v>
      </c>
      <c r="E154" s="23">
        <v>-5.6054590354091598</v>
      </c>
      <c r="F154" s="25">
        <v>-5.2848741954319697E-2</v>
      </c>
      <c r="G154" s="11">
        <f t="shared" si="18"/>
        <v>89.459826548813197</v>
      </c>
      <c r="H154" s="11">
        <f t="shared" si="19"/>
        <v>1</v>
      </c>
      <c r="I154" s="34">
        <f t="shared" si="12"/>
        <v>0.5</v>
      </c>
      <c r="J154" s="34">
        <f t="shared" si="13"/>
        <v>0.5</v>
      </c>
      <c r="K154" s="34">
        <f t="shared" si="14"/>
        <v>0.5</v>
      </c>
      <c r="L154" s="38">
        <f t="shared" si="15"/>
        <v>123.6240781930934</v>
      </c>
      <c r="M154" s="38">
        <f t="shared" si="16"/>
        <v>126.69668410241719</v>
      </c>
      <c r="N154" s="6"/>
      <c r="O154" s="6"/>
    </row>
    <row r="155" spans="2:15">
      <c r="B155">
        <v>124.44</v>
      </c>
      <c r="C155">
        <v>121.12</v>
      </c>
      <c r="D155" s="7">
        <f t="shared" si="17"/>
        <v>122.78</v>
      </c>
      <c r="E155" s="23">
        <v>-7.9099212683014102</v>
      </c>
      <c r="F155" s="25">
        <v>-1.8884527125783599</v>
      </c>
      <c r="G155" s="11">
        <f t="shared" si="18"/>
        <v>76.572285908928535</v>
      </c>
      <c r="H155" s="11">
        <f t="shared" si="19"/>
        <v>12.887540639884662</v>
      </c>
      <c r="I155" s="34">
        <f t="shared" si="12"/>
        <v>3.8797161845805422E-2</v>
      </c>
      <c r="J155" s="34">
        <f t="shared" si="13"/>
        <v>0.05</v>
      </c>
      <c r="K155" s="34">
        <f t="shared" si="14"/>
        <v>0.05</v>
      </c>
      <c r="L155" s="38">
        <f t="shared" si="15"/>
        <v>123.58187428343872</v>
      </c>
      <c r="M155" s="38">
        <f t="shared" si="16"/>
        <v>126.61881385694272</v>
      </c>
      <c r="N155" s="6"/>
      <c r="O155" s="6"/>
    </row>
    <row r="156" spans="2:15">
      <c r="B156">
        <v>122.5</v>
      </c>
      <c r="C156">
        <v>118.94</v>
      </c>
      <c r="D156" s="7">
        <f t="shared" si="17"/>
        <v>120.72</v>
      </c>
      <c r="E156" s="23">
        <v>-5.8739400171159604</v>
      </c>
      <c r="F156" s="25">
        <v>-5.0160214626666901</v>
      </c>
      <c r="G156" s="11">
        <f t="shared" si="18"/>
        <v>49.504496863581664</v>
      </c>
      <c r="H156" s="11">
        <f t="shared" si="19"/>
        <v>27.067789045346871</v>
      </c>
      <c r="I156" s="34">
        <f t="shared" si="12"/>
        <v>1.8472140416136176E-2</v>
      </c>
      <c r="J156" s="34">
        <f t="shared" si="13"/>
        <v>0.05</v>
      </c>
      <c r="K156" s="34">
        <f t="shared" si="14"/>
        <v>0.05</v>
      </c>
      <c r="L156" s="38">
        <f t="shared" si="15"/>
        <v>123.43878056926678</v>
      </c>
      <c r="M156" s="38">
        <f t="shared" si="16"/>
        <v>126.53931302475081</v>
      </c>
      <c r="N156" s="6"/>
      <c r="O156" s="6"/>
    </row>
    <row r="157" spans="2:15">
      <c r="B157">
        <v>123.75</v>
      </c>
      <c r="C157">
        <v>119.81</v>
      </c>
      <c r="D157" s="7">
        <f t="shared" si="17"/>
        <v>121.78</v>
      </c>
      <c r="E157" s="23">
        <v>1.9333539786423899</v>
      </c>
      <c r="F157" s="25">
        <v>-5.83347695100713</v>
      </c>
      <c r="G157" s="11">
        <f t="shared" si="18"/>
        <v>-18.336432889649263</v>
      </c>
      <c r="H157" s="11">
        <f t="shared" si="19"/>
        <v>67.840929753230924</v>
      </c>
      <c r="I157" s="34">
        <f t="shared" si="12"/>
        <v>7.3701820098682758E-3</v>
      </c>
      <c r="J157" s="34">
        <f t="shared" si="13"/>
        <v>0.05</v>
      </c>
      <c r="K157" s="34">
        <f t="shared" si="14"/>
        <v>0.05</v>
      </c>
      <c r="L157" s="38">
        <f t="shared" si="15"/>
        <v>123.35584154080344</v>
      </c>
      <c r="M157" s="38">
        <f t="shared" si="16"/>
        <v>126.45972623765212</v>
      </c>
      <c r="N157" s="6"/>
      <c r="O157" s="6"/>
    </row>
    <row r="158" spans="2:15">
      <c r="B158">
        <v>123.81</v>
      </c>
      <c r="C158">
        <v>121</v>
      </c>
      <c r="D158" s="7">
        <f t="shared" si="17"/>
        <v>122.405</v>
      </c>
      <c r="E158" s="23">
        <v>8.0739440827452906</v>
      </c>
      <c r="F158" s="25">
        <v>-3.9292619924817598</v>
      </c>
      <c r="G158" s="11">
        <f t="shared" si="18"/>
        <v>-64.049686906394257</v>
      </c>
      <c r="H158" s="11">
        <f t="shared" si="19"/>
        <v>45.713254016744997</v>
      </c>
      <c r="I158" s="34">
        <f t="shared" si="12"/>
        <v>1.0937746847267697E-2</v>
      </c>
      <c r="J158" s="34">
        <f t="shared" si="13"/>
        <v>0.05</v>
      </c>
      <c r="K158" s="34">
        <f t="shared" si="14"/>
        <v>0.05</v>
      </c>
      <c r="L158" s="38">
        <f t="shared" si="15"/>
        <v>123.30829946376326</v>
      </c>
      <c r="M158" s="38">
        <f t="shared" si="16"/>
        <v>126.38094056830491</v>
      </c>
      <c r="N158" s="6"/>
      <c r="O158" s="6"/>
    </row>
    <row r="159" spans="2:15">
      <c r="B159">
        <v>124.5</v>
      </c>
      <c r="C159">
        <v>122</v>
      </c>
      <c r="D159" s="7">
        <f t="shared" si="17"/>
        <v>123.25</v>
      </c>
      <c r="E159" s="23">
        <v>8.8862534194940093</v>
      </c>
      <c r="F159" s="25">
        <v>-0.186839895775361</v>
      </c>
      <c r="G159" s="11">
        <f t="shared" si="18"/>
        <v>-88.795492332594534</v>
      </c>
      <c r="H159" s="11">
        <f t="shared" si="19"/>
        <v>24.745805426200278</v>
      </c>
      <c r="I159" s="34">
        <f t="shared" ref="I159:I222" si="20">$B$1/H159</f>
        <v>2.0205444574885881E-2</v>
      </c>
      <c r="J159" s="34">
        <f t="shared" ref="J159:J222" si="21">IF(I159 &lt; $C$1, $C$1, I159 )</f>
        <v>0.05</v>
      </c>
      <c r="K159" s="34">
        <f t="shared" ref="K159:K222" si="22">IF(J159 &gt; $B$1, $B$1, J159 )</f>
        <v>0.05</v>
      </c>
      <c r="L159" s="38">
        <f t="shared" ref="L159:L222" si="23">K159*D159 + (1-K159)*L158</f>
        <v>123.30538449057509</v>
      </c>
      <c r="M159" s="38">
        <f t="shared" ref="M159:M222" si="24">0.5*K159*L159+(1-0.5*K159)*M158</f>
        <v>126.30405166636166</v>
      </c>
      <c r="N159" s="6"/>
      <c r="O159" s="6"/>
    </row>
    <row r="160" spans="2:15">
      <c r="B160">
        <v>127.87</v>
      </c>
      <c r="C160">
        <v>124.5</v>
      </c>
      <c r="D160" s="7">
        <f t="shared" si="17"/>
        <v>126.185</v>
      </c>
      <c r="E160" s="23">
        <v>1.94119634927266</v>
      </c>
      <c r="F160" s="25">
        <v>1.95609155685989</v>
      </c>
      <c r="G160" s="11">
        <f t="shared" si="18"/>
        <v>44.781019931070013</v>
      </c>
      <c r="H160" s="11">
        <f t="shared" si="19"/>
        <v>1</v>
      </c>
      <c r="I160" s="34">
        <f t="shared" si="20"/>
        <v>0.5</v>
      </c>
      <c r="J160" s="34">
        <f t="shared" si="21"/>
        <v>0.5</v>
      </c>
      <c r="K160" s="34">
        <f t="shared" si="22"/>
        <v>0.5</v>
      </c>
      <c r="L160" s="38">
        <f t="shared" si="23"/>
        <v>124.74519224528754</v>
      </c>
      <c r="M160" s="38">
        <f t="shared" si="24"/>
        <v>125.91433681109314</v>
      </c>
      <c r="N160" s="6"/>
      <c r="O160" s="6"/>
    </row>
    <row r="161" spans="2:15">
      <c r="B161">
        <v>128.56</v>
      </c>
      <c r="C161">
        <v>126.56</v>
      </c>
      <c r="D161" s="7">
        <f t="shared" si="17"/>
        <v>127.56</v>
      </c>
      <c r="E161" s="23">
        <v>-1.96480923617147</v>
      </c>
      <c r="F161" s="25">
        <v>0.234725134763271</v>
      </c>
      <c r="G161" s="11">
        <f t="shared" si="18"/>
        <v>-83.187469617345101</v>
      </c>
      <c r="H161" s="11">
        <f t="shared" si="19"/>
        <v>127.96848954841511</v>
      </c>
      <c r="I161" s="34">
        <f t="shared" si="20"/>
        <v>3.9072118594541344E-3</v>
      </c>
      <c r="J161" s="34">
        <f t="shared" si="21"/>
        <v>0.05</v>
      </c>
      <c r="K161" s="34">
        <f t="shared" si="22"/>
        <v>0.05</v>
      </c>
      <c r="L161" s="38">
        <f t="shared" si="23"/>
        <v>124.88593263302316</v>
      </c>
      <c r="M161" s="38">
        <f t="shared" si="24"/>
        <v>125.88862670664139</v>
      </c>
      <c r="N161" s="6"/>
      <c r="O161" s="6"/>
    </row>
    <row r="162" spans="2:15">
      <c r="B162">
        <v>129.63</v>
      </c>
      <c r="C162">
        <v>123.5</v>
      </c>
      <c r="D162" s="7">
        <f t="shared" si="17"/>
        <v>126.565</v>
      </c>
      <c r="E162" s="23">
        <v>1.1650615521007599</v>
      </c>
      <c r="F162" s="25">
        <v>-0.41309798479992499</v>
      </c>
      <c r="G162" s="11">
        <f t="shared" si="18"/>
        <v>-70.476928234591341</v>
      </c>
      <c r="H162" s="11">
        <f t="shared" si="19"/>
        <v>1</v>
      </c>
      <c r="I162" s="34">
        <f t="shared" si="20"/>
        <v>0.5</v>
      </c>
      <c r="J162" s="34">
        <f t="shared" si="21"/>
        <v>0.5</v>
      </c>
      <c r="K162" s="34">
        <f t="shared" si="22"/>
        <v>0.5</v>
      </c>
      <c r="L162" s="38">
        <f t="shared" si="23"/>
        <v>125.72546631651159</v>
      </c>
      <c r="M162" s="38">
        <f t="shared" si="24"/>
        <v>125.84783660910894</v>
      </c>
      <c r="N162" s="6"/>
      <c r="O162" s="6"/>
    </row>
    <row r="163" spans="2:15">
      <c r="B163">
        <v>124.87</v>
      </c>
      <c r="C163">
        <v>121.25</v>
      </c>
      <c r="D163" s="7">
        <f t="shared" si="17"/>
        <v>123.06</v>
      </c>
      <c r="E163" s="23">
        <v>3.3877659760005501</v>
      </c>
      <c r="F163" s="25">
        <v>0.38266963712110003</v>
      </c>
      <c r="G163" s="11">
        <f t="shared" si="18"/>
        <v>83.555395142086113</v>
      </c>
      <c r="H163" s="11">
        <f t="shared" si="19"/>
        <v>1</v>
      </c>
      <c r="I163" s="34">
        <f t="shared" si="20"/>
        <v>0.5</v>
      </c>
      <c r="J163" s="34">
        <f t="shared" si="21"/>
        <v>0.5</v>
      </c>
      <c r="K163" s="34">
        <f t="shared" si="22"/>
        <v>0.5</v>
      </c>
      <c r="L163" s="38">
        <f t="shared" si="23"/>
        <v>124.39273315825579</v>
      </c>
      <c r="M163" s="38">
        <f t="shared" si="24"/>
        <v>125.48406074639566</v>
      </c>
      <c r="N163" s="6"/>
      <c r="O163" s="6"/>
    </row>
    <row r="164" spans="2:15">
      <c r="B164">
        <v>124.37</v>
      </c>
      <c r="C164">
        <v>121.06</v>
      </c>
      <c r="D164" s="7">
        <f t="shared" si="17"/>
        <v>122.715</v>
      </c>
      <c r="E164" s="23">
        <v>5.6177671278807297</v>
      </c>
      <c r="F164" s="25">
        <v>1.4986372386359299</v>
      </c>
      <c r="G164" s="11">
        <f t="shared" si="18"/>
        <v>75.063193509063495</v>
      </c>
      <c r="H164" s="11">
        <f t="shared" si="19"/>
        <v>8.4922016330226171</v>
      </c>
      <c r="I164" s="34">
        <f t="shared" si="20"/>
        <v>5.8877546907943085E-2</v>
      </c>
      <c r="J164" s="34">
        <f t="shared" si="21"/>
        <v>5.8877546907943085E-2</v>
      </c>
      <c r="K164" s="34">
        <f t="shared" si="22"/>
        <v>5.8877546907943085E-2</v>
      </c>
      <c r="L164" s="38">
        <f t="shared" si="23"/>
        <v>124.29395234553158</v>
      </c>
      <c r="M164" s="38">
        <f t="shared" si="24"/>
        <v>125.44902541479696</v>
      </c>
      <c r="N164" s="6"/>
      <c r="O164" s="6"/>
    </row>
    <row r="165" spans="2:15">
      <c r="B165">
        <v>124.87</v>
      </c>
      <c r="C165">
        <v>122.31</v>
      </c>
      <c r="D165" s="7">
        <f t="shared" si="17"/>
        <v>123.59</v>
      </c>
      <c r="E165" s="23">
        <v>5.0663844910392797</v>
      </c>
      <c r="F165" s="25">
        <v>4.0215800526575398</v>
      </c>
      <c r="G165" s="11">
        <f t="shared" si="18"/>
        <v>51.558258248972017</v>
      </c>
      <c r="H165" s="11">
        <f t="shared" si="19"/>
        <v>23.504935260091479</v>
      </c>
      <c r="I165" s="34">
        <f t="shared" si="20"/>
        <v>2.1272128362290758E-2</v>
      </c>
      <c r="J165" s="34">
        <f t="shared" si="21"/>
        <v>0.05</v>
      </c>
      <c r="K165" s="34">
        <f t="shared" si="22"/>
        <v>0.05</v>
      </c>
      <c r="L165" s="38">
        <f t="shared" si="23"/>
        <v>124.258754728255</v>
      </c>
      <c r="M165" s="38">
        <f t="shared" si="24"/>
        <v>125.41926864763342</v>
      </c>
      <c r="N165" s="6"/>
      <c r="O165" s="6"/>
    </row>
    <row r="166" spans="2:15">
      <c r="B166">
        <v>123.62</v>
      </c>
      <c r="C166">
        <v>121</v>
      </c>
      <c r="D166" s="7">
        <f t="shared" si="17"/>
        <v>122.31</v>
      </c>
      <c r="E166" s="23">
        <v>-1.3935530793867299</v>
      </c>
      <c r="F166" s="25">
        <v>5.3312319490861402</v>
      </c>
      <c r="G166" s="11">
        <f t="shared" si="18"/>
        <v>-14.649014141230392</v>
      </c>
      <c r="H166" s="11">
        <f t="shared" si="19"/>
        <v>66.207272390202405</v>
      </c>
      <c r="I166" s="34">
        <f t="shared" si="20"/>
        <v>7.5520404624612181E-3</v>
      </c>
      <c r="J166" s="34">
        <f t="shared" si="21"/>
        <v>0.05</v>
      </c>
      <c r="K166" s="34">
        <f t="shared" si="22"/>
        <v>0.05</v>
      </c>
      <c r="L166" s="38">
        <f t="shared" si="23"/>
        <v>124.16131699184224</v>
      </c>
      <c r="M166" s="38">
        <f t="shared" si="24"/>
        <v>125.38781985623864</v>
      </c>
      <c r="N166" s="6"/>
      <c r="O166" s="6"/>
    </row>
    <row r="167" spans="2:15">
      <c r="B167">
        <v>124.06</v>
      </c>
      <c r="C167">
        <v>120.87</v>
      </c>
      <c r="D167" s="7">
        <f t="shared" si="17"/>
        <v>122.465</v>
      </c>
      <c r="E167" s="23">
        <v>-8.8800287629159094</v>
      </c>
      <c r="F167" s="25">
        <v>3.6185258800457198</v>
      </c>
      <c r="G167" s="11">
        <f t="shared" si="18"/>
        <v>-67.82957935587136</v>
      </c>
      <c r="H167" s="11">
        <f t="shared" si="19"/>
        <v>53.180565214640964</v>
      </c>
      <c r="I167" s="34">
        <f t="shared" si="20"/>
        <v>9.4019309118276665E-3</v>
      </c>
      <c r="J167" s="34">
        <f t="shared" si="21"/>
        <v>0.05</v>
      </c>
      <c r="K167" s="34">
        <f t="shared" si="22"/>
        <v>0.05</v>
      </c>
      <c r="L167" s="38">
        <f t="shared" si="23"/>
        <v>124.07650114225012</v>
      </c>
      <c r="M167" s="38">
        <f t="shared" si="24"/>
        <v>125.35503688838892</v>
      </c>
      <c r="N167" s="6"/>
      <c r="O167" s="6"/>
    </row>
    <row r="168" spans="2:15">
      <c r="B168">
        <v>125.87</v>
      </c>
      <c r="C168">
        <v>122.06</v>
      </c>
      <c r="D168" s="7">
        <f t="shared" si="17"/>
        <v>123.965</v>
      </c>
      <c r="E168" s="23">
        <v>-11.470992965950501</v>
      </c>
      <c r="F168" s="25">
        <v>-0.35289726892060902</v>
      </c>
      <c r="G168" s="11">
        <f t="shared" si="18"/>
        <v>88.237890223320264</v>
      </c>
      <c r="H168" s="11">
        <f t="shared" si="19"/>
        <v>1</v>
      </c>
      <c r="I168" s="34">
        <f t="shared" si="20"/>
        <v>0.5</v>
      </c>
      <c r="J168" s="34">
        <f t="shared" si="21"/>
        <v>0.5</v>
      </c>
      <c r="K168" s="34">
        <f t="shared" si="22"/>
        <v>0.5</v>
      </c>
      <c r="L168" s="38">
        <f t="shared" si="23"/>
        <v>124.02075057112506</v>
      </c>
      <c r="M168" s="38">
        <f t="shared" si="24"/>
        <v>125.02146530907297</v>
      </c>
      <c r="N168" s="6"/>
      <c r="O168" s="6"/>
    </row>
    <row r="169" spans="2:15">
      <c r="B169">
        <v>125.19</v>
      </c>
      <c r="C169">
        <v>122.75</v>
      </c>
      <c r="D169" s="7">
        <f t="shared" si="17"/>
        <v>123.97</v>
      </c>
      <c r="E169" s="23">
        <v>-5.5311262488522104</v>
      </c>
      <c r="F169" s="25">
        <v>-3.4609323490446799</v>
      </c>
      <c r="G169" s="11">
        <f t="shared" si="18"/>
        <v>57.964990874173147</v>
      </c>
      <c r="H169" s="11">
        <f t="shared" si="19"/>
        <v>30.272899349147117</v>
      </c>
      <c r="I169" s="34">
        <f t="shared" si="20"/>
        <v>1.6516422633766875E-2</v>
      </c>
      <c r="J169" s="34">
        <f t="shared" si="21"/>
        <v>0.05</v>
      </c>
      <c r="K169" s="34">
        <f t="shared" si="22"/>
        <v>0.05</v>
      </c>
      <c r="L169" s="38">
        <f t="shared" si="23"/>
        <v>124.0182130425688</v>
      </c>
      <c r="M169" s="38">
        <f t="shared" si="24"/>
        <v>124.99638400241037</v>
      </c>
      <c r="N169" s="6"/>
      <c r="O169" s="6"/>
    </row>
    <row r="170" spans="2:15">
      <c r="B170">
        <v>125.62</v>
      </c>
      <c r="C170">
        <v>122.69</v>
      </c>
      <c r="D170" s="7">
        <f t="shared" si="17"/>
        <v>124.155</v>
      </c>
      <c r="E170" s="23">
        <v>0.57559617315357703</v>
      </c>
      <c r="F170" s="25">
        <v>-3.18923020861632</v>
      </c>
      <c r="G170" s="11">
        <f t="shared" si="18"/>
        <v>-10.230678308825338</v>
      </c>
      <c r="H170" s="11">
        <f t="shared" si="19"/>
        <v>68.195669182998486</v>
      </c>
      <c r="I170" s="34">
        <f t="shared" si="20"/>
        <v>7.3318438837851078E-3</v>
      </c>
      <c r="J170" s="34">
        <f t="shared" si="21"/>
        <v>0.05</v>
      </c>
      <c r="K170" s="34">
        <f t="shared" si="22"/>
        <v>0.05</v>
      </c>
      <c r="L170" s="38">
        <f t="shared" si="23"/>
        <v>124.02505239044037</v>
      </c>
      <c r="M170" s="38">
        <f t="shared" si="24"/>
        <v>124.97210071211111</v>
      </c>
      <c r="N170" s="6"/>
      <c r="O170" s="6"/>
    </row>
    <row r="171" spans="2:15">
      <c r="B171">
        <v>126</v>
      </c>
      <c r="C171">
        <v>122.87</v>
      </c>
      <c r="D171" s="7">
        <f t="shared" si="17"/>
        <v>124.435</v>
      </c>
      <c r="E171" s="23">
        <v>2.5284789740989599</v>
      </c>
      <c r="F171" s="25">
        <v>-2.4932584896594499</v>
      </c>
      <c r="G171" s="11">
        <f t="shared" si="18"/>
        <v>-45.401843393378783</v>
      </c>
      <c r="H171" s="11">
        <f t="shared" si="19"/>
        <v>35.171165084553444</v>
      </c>
      <c r="I171" s="34">
        <f t="shared" si="20"/>
        <v>1.4216190984801673E-2</v>
      </c>
      <c r="J171" s="34">
        <f t="shared" si="21"/>
        <v>0.05</v>
      </c>
      <c r="K171" s="34">
        <f t="shared" si="22"/>
        <v>0.05</v>
      </c>
      <c r="L171" s="38">
        <f t="shared" si="23"/>
        <v>124.04554977091834</v>
      </c>
      <c r="M171" s="38">
        <f t="shared" si="24"/>
        <v>124.9489369385813</v>
      </c>
      <c r="N171" s="6"/>
      <c r="O171" s="6"/>
    </row>
    <row r="172" spans="2:15">
      <c r="B172">
        <v>128.5</v>
      </c>
      <c r="C172">
        <v>125.5</v>
      </c>
      <c r="D172" s="7">
        <f t="shared" si="17"/>
        <v>127</v>
      </c>
      <c r="E172" s="23">
        <v>4.9314694006451996</v>
      </c>
      <c r="F172" s="25">
        <v>-1.59947257120965</v>
      </c>
      <c r="G172" s="11">
        <f t="shared" si="18"/>
        <v>-72.030049846825037</v>
      </c>
      <c r="H172" s="11">
        <f t="shared" si="19"/>
        <v>26.628206453446253</v>
      </c>
      <c r="I172" s="34">
        <f t="shared" si="20"/>
        <v>1.8777081395780205E-2</v>
      </c>
      <c r="J172" s="34">
        <f t="shared" si="21"/>
        <v>0.05</v>
      </c>
      <c r="K172" s="34">
        <f t="shared" si="22"/>
        <v>0.05</v>
      </c>
      <c r="L172" s="38">
        <f t="shared" si="23"/>
        <v>124.19327228237242</v>
      </c>
      <c r="M172" s="38">
        <f t="shared" si="24"/>
        <v>124.93004532217607</v>
      </c>
      <c r="N172" s="6"/>
      <c r="O172" s="6"/>
    </row>
    <row r="173" spans="2:15">
      <c r="B173">
        <v>126.75</v>
      </c>
      <c r="C173">
        <v>124.25</v>
      </c>
      <c r="D173" s="7">
        <f t="shared" si="17"/>
        <v>125.5</v>
      </c>
      <c r="E173" s="23">
        <v>4.6984547978467903</v>
      </c>
      <c r="F173" s="25">
        <v>0.36121774271624502</v>
      </c>
      <c r="G173" s="11">
        <f t="shared" si="18"/>
        <v>85.603741740163017</v>
      </c>
      <c r="H173" s="11">
        <f t="shared" si="19"/>
        <v>1</v>
      </c>
      <c r="I173" s="34">
        <f t="shared" si="20"/>
        <v>0.5</v>
      </c>
      <c r="J173" s="34">
        <f t="shared" si="21"/>
        <v>0.5</v>
      </c>
      <c r="K173" s="34">
        <f t="shared" si="22"/>
        <v>0.5</v>
      </c>
      <c r="L173" s="38">
        <f t="shared" si="23"/>
        <v>124.84663614118621</v>
      </c>
      <c r="M173" s="38">
        <f t="shared" si="24"/>
        <v>124.90919302692861</v>
      </c>
      <c r="N173" s="6"/>
      <c r="O173" s="6"/>
    </row>
    <row r="174" spans="2:15">
      <c r="B174">
        <v>129.75</v>
      </c>
      <c r="C174">
        <v>128</v>
      </c>
      <c r="D174" s="7">
        <f t="shared" si="17"/>
        <v>128.875</v>
      </c>
      <c r="E174" s="23">
        <v>2.4792887198744</v>
      </c>
      <c r="F174" s="25">
        <v>1.28701615924357</v>
      </c>
      <c r="G174" s="11">
        <f t="shared" si="18"/>
        <v>62.565857372333333</v>
      </c>
      <c r="H174" s="11">
        <f t="shared" si="19"/>
        <v>23.037884367829683</v>
      </c>
      <c r="I174" s="34">
        <f t="shared" si="20"/>
        <v>2.1703381787010124E-2</v>
      </c>
      <c r="J174" s="34">
        <f t="shared" si="21"/>
        <v>0.05</v>
      </c>
      <c r="K174" s="34">
        <f t="shared" si="22"/>
        <v>0.05</v>
      </c>
      <c r="L174" s="38">
        <f t="shared" si="23"/>
        <v>125.04805433412689</v>
      </c>
      <c r="M174" s="38">
        <f t="shared" si="24"/>
        <v>124.91266455960856</v>
      </c>
      <c r="N174" s="6"/>
      <c r="O174" s="6"/>
    </row>
    <row r="175" spans="2:15">
      <c r="B175">
        <v>132.69</v>
      </c>
      <c r="C175">
        <v>128.38</v>
      </c>
      <c r="D175" s="7">
        <f t="shared" si="17"/>
        <v>130.535</v>
      </c>
      <c r="E175" s="23">
        <v>1.10897290447125</v>
      </c>
      <c r="F175" s="25">
        <v>1.5555985576664899</v>
      </c>
      <c r="G175" s="11">
        <f t="shared" si="18"/>
        <v>35.484745603687749</v>
      </c>
      <c r="H175" s="11">
        <f t="shared" si="19"/>
        <v>27.081111768645584</v>
      </c>
      <c r="I175" s="34">
        <f t="shared" si="20"/>
        <v>1.8463052930452369E-2</v>
      </c>
      <c r="J175" s="34">
        <f t="shared" si="21"/>
        <v>0.05</v>
      </c>
      <c r="K175" s="34">
        <f t="shared" si="22"/>
        <v>0.05</v>
      </c>
      <c r="L175" s="38">
        <f t="shared" si="23"/>
        <v>125.32240161742052</v>
      </c>
      <c r="M175" s="38">
        <f t="shared" si="24"/>
        <v>124.92290798605386</v>
      </c>
      <c r="N175" s="6"/>
      <c r="O175" s="6"/>
    </row>
    <row r="176" spans="2:15">
      <c r="B176">
        <v>133.94</v>
      </c>
      <c r="C176">
        <v>130.69</v>
      </c>
      <c r="D176" s="7">
        <f t="shared" si="17"/>
        <v>132.315</v>
      </c>
      <c r="E176" s="23">
        <v>1.6724678730290601</v>
      </c>
      <c r="F176" s="25">
        <v>1.53303776067065</v>
      </c>
      <c r="G176" s="11">
        <f t="shared" si="18"/>
        <v>47.490628739673419</v>
      </c>
      <c r="H176" s="11">
        <f t="shared" si="19"/>
        <v>1</v>
      </c>
      <c r="I176" s="34">
        <f t="shared" si="20"/>
        <v>0.5</v>
      </c>
      <c r="J176" s="34">
        <f t="shared" si="21"/>
        <v>0.5</v>
      </c>
      <c r="K176" s="34">
        <f t="shared" si="22"/>
        <v>0.5</v>
      </c>
      <c r="L176" s="38">
        <f t="shared" si="23"/>
        <v>128.81870080871028</v>
      </c>
      <c r="M176" s="38">
        <f t="shared" si="24"/>
        <v>125.89685619171796</v>
      </c>
      <c r="N176" s="6"/>
      <c r="O176" s="6"/>
    </row>
    <row r="177" spans="2:15">
      <c r="B177">
        <v>136.5</v>
      </c>
      <c r="C177">
        <v>131.63</v>
      </c>
      <c r="D177" s="7">
        <f t="shared" si="17"/>
        <v>134.065</v>
      </c>
      <c r="E177" s="23">
        <v>1.8568277729052201</v>
      </c>
      <c r="F177" s="25">
        <v>2.5725626476464201</v>
      </c>
      <c r="G177" s="11">
        <f t="shared" si="18"/>
        <v>35.821048980775508</v>
      </c>
      <c r="H177" s="11">
        <f t="shared" si="19"/>
        <v>11.66957975889791</v>
      </c>
      <c r="I177" s="34">
        <f t="shared" si="20"/>
        <v>4.284644437335082E-2</v>
      </c>
      <c r="J177" s="34">
        <f t="shared" si="21"/>
        <v>0.05</v>
      </c>
      <c r="K177" s="34">
        <f t="shared" si="22"/>
        <v>0.05</v>
      </c>
      <c r="L177" s="38">
        <f t="shared" si="23"/>
        <v>129.08101576827477</v>
      </c>
      <c r="M177" s="38">
        <f t="shared" si="24"/>
        <v>125.97646018113187</v>
      </c>
      <c r="N177" s="6"/>
      <c r="O177" s="6"/>
    </row>
    <row r="178" spans="2:15">
      <c r="B178">
        <v>137.69</v>
      </c>
      <c r="C178">
        <v>134.38</v>
      </c>
      <c r="D178" s="7">
        <f t="shared" si="17"/>
        <v>136.035</v>
      </c>
      <c r="E178" s="23">
        <v>1.23545791359992</v>
      </c>
      <c r="F178" s="25">
        <v>2.6287065930924398</v>
      </c>
      <c r="G178" s="11">
        <f t="shared" si="18"/>
        <v>25.172914229078764</v>
      </c>
      <c r="H178" s="11">
        <f t="shared" si="19"/>
        <v>10.648134751696745</v>
      </c>
      <c r="I178" s="34">
        <f t="shared" si="20"/>
        <v>4.6956580815276282E-2</v>
      </c>
      <c r="J178" s="34">
        <f t="shared" si="21"/>
        <v>0.05</v>
      </c>
      <c r="K178" s="34">
        <f t="shared" si="22"/>
        <v>0.05</v>
      </c>
      <c r="L178" s="38">
        <f t="shared" si="23"/>
        <v>129.42871497986104</v>
      </c>
      <c r="M178" s="38">
        <f t="shared" si="24"/>
        <v>126.0627665511001</v>
      </c>
      <c r="N178" s="6"/>
      <c r="O178" s="6"/>
    </row>
    <row r="179" spans="2:15">
      <c r="B179">
        <v>135.56</v>
      </c>
      <c r="C179">
        <v>132</v>
      </c>
      <c r="D179" s="7">
        <f t="shared" si="17"/>
        <v>133.78</v>
      </c>
      <c r="E179" s="23">
        <v>2.9751573319593598</v>
      </c>
      <c r="F179" s="25">
        <v>3.1339772455195098</v>
      </c>
      <c r="G179" s="11">
        <f t="shared" si="18"/>
        <v>43.510810090857028</v>
      </c>
      <c r="H179" s="11">
        <f t="shared" si="19"/>
        <v>1</v>
      </c>
      <c r="I179" s="34">
        <f t="shared" si="20"/>
        <v>0.5</v>
      </c>
      <c r="J179" s="34">
        <f t="shared" si="21"/>
        <v>0.5</v>
      </c>
      <c r="K179" s="34">
        <f t="shared" si="22"/>
        <v>0.5</v>
      </c>
      <c r="L179" s="38">
        <f t="shared" si="23"/>
        <v>131.60435748993052</v>
      </c>
      <c r="M179" s="38">
        <f t="shared" si="24"/>
        <v>127.44816428580771</v>
      </c>
      <c r="N179" s="6"/>
      <c r="O179" s="6"/>
    </row>
    <row r="180" spans="2:15">
      <c r="B180">
        <v>133.56</v>
      </c>
      <c r="C180">
        <v>131.94</v>
      </c>
      <c r="D180" s="7">
        <f t="shared" si="17"/>
        <v>132.75</v>
      </c>
      <c r="E180" s="23">
        <v>2.5101880496838902</v>
      </c>
      <c r="F180" s="25">
        <v>4.8586311952515402</v>
      </c>
      <c r="G180" s="11">
        <f t="shared" si="18"/>
        <v>27.322916435557158</v>
      </c>
      <c r="H180" s="11">
        <f t="shared" si="19"/>
        <v>16.18789365529987</v>
      </c>
      <c r="I180" s="34">
        <f t="shared" si="20"/>
        <v>3.0887279756517391E-2</v>
      </c>
      <c r="J180" s="34">
        <f t="shared" si="21"/>
        <v>0.05</v>
      </c>
      <c r="K180" s="34">
        <f t="shared" si="22"/>
        <v>0.05</v>
      </c>
      <c r="L180" s="38">
        <f t="shared" si="23"/>
        <v>131.66163961543398</v>
      </c>
      <c r="M180" s="38">
        <f t="shared" si="24"/>
        <v>127.55350116904836</v>
      </c>
      <c r="N180" s="6"/>
      <c r="O180" s="6"/>
    </row>
    <row r="181" spans="2:15">
      <c r="B181">
        <v>135</v>
      </c>
      <c r="C181">
        <v>131.94</v>
      </c>
      <c r="D181" s="7">
        <f t="shared" si="17"/>
        <v>133.47</v>
      </c>
      <c r="E181" s="23">
        <v>0.53320753174211399</v>
      </c>
      <c r="F181" s="25">
        <v>5.1470948349263699</v>
      </c>
      <c r="G181" s="11">
        <f t="shared" si="18"/>
        <v>5.9143952387067111</v>
      </c>
      <c r="H181" s="11">
        <f t="shared" si="19"/>
        <v>21.408521196850447</v>
      </c>
      <c r="I181" s="34">
        <f t="shared" si="20"/>
        <v>2.3355186255160792E-2</v>
      </c>
      <c r="J181" s="34">
        <f t="shared" si="21"/>
        <v>0.05</v>
      </c>
      <c r="K181" s="34">
        <f t="shared" si="22"/>
        <v>0.05</v>
      </c>
      <c r="L181" s="38">
        <f t="shared" si="23"/>
        <v>131.75205763466226</v>
      </c>
      <c r="M181" s="38">
        <f t="shared" si="24"/>
        <v>127.65846508068871</v>
      </c>
      <c r="N181" s="6"/>
      <c r="O181" s="6"/>
    </row>
    <row r="182" spans="2:15">
      <c r="B182">
        <v>132.38</v>
      </c>
      <c r="C182">
        <v>129.56</v>
      </c>
      <c r="D182" s="7">
        <f t="shared" si="17"/>
        <v>130.97</v>
      </c>
      <c r="E182" s="23">
        <v>-0.67053079080981504</v>
      </c>
      <c r="F182" s="25">
        <v>5.30681723214248</v>
      </c>
      <c r="G182" s="11">
        <f t="shared" si="18"/>
        <v>-7.2013163499173638</v>
      </c>
      <c r="H182" s="11">
        <f t="shared" si="19"/>
        <v>13.115711588624075</v>
      </c>
      <c r="I182" s="34">
        <f t="shared" si="20"/>
        <v>3.8122216749084011E-2</v>
      </c>
      <c r="J182" s="34">
        <f t="shared" si="21"/>
        <v>0.05</v>
      </c>
      <c r="K182" s="34">
        <f t="shared" si="22"/>
        <v>0.05</v>
      </c>
      <c r="L182" s="38">
        <f t="shared" si="23"/>
        <v>131.71295475292914</v>
      </c>
      <c r="M182" s="38">
        <f t="shared" si="24"/>
        <v>127.75982732249473</v>
      </c>
      <c r="N182" s="6"/>
      <c r="O182" s="6"/>
    </row>
    <row r="183" spans="2:15">
      <c r="B183">
        <v>131.44</v>
      </c>
      <c r="C183">
        <v>123.75</v>
      </c>
      <c r="D183" s="7">
        <f t="shared" si="17"/>
        <v>127.595</v>
      </c>
      <c r="E183" s="23">
        <v>-3.7928983583701799</v>
      </c>
      <c r="F183" s="25">
        <v>5.0438380417364304</v>
      </c>
      <c r="G183" s="11">
        <f t="shared" si="18"/>
        <v>-36.942673539129117</v>
      </c>
      <c r="H183" s="11">
        <f t="shared" si="19"/>
        <v>29.741357189211755</v>
      </c>
      <c r="I183" s="34">
        <f t="shared" si="20"/>
        <v>1.6811606707086243E-2</v>
      </c>
      <c r="J183" s="34">
        <f t="shared" si="21"/>
        <v>0.05</v>
      </c>
      <c r="K183" s="34">
        <f t="shared" si="22"/>
        <v>0.05</v>
      </c>
      <c r="L183" s="38">
        <f t="shared" si="23"/>
        <v>131.50705701528267</v>
      </c>
      <c r="M183" s="38">
        <f t="shared" si="24"/>
        <v>127.85350806481443</v>
      </c>
      <c r="N183" s="6"/>
      <c r="O183" s="6"/>
    </row>
    <row r="184" spans="2:15">
      <c r="B184">
        <v>130.88</v>
      </c>
      <c r="C184">
        <v>126</v>
      </c>
      <c r="D184" s="7">
        <f t="shared" si="17"/>
        <v>128.44</v>
      </c>
      <c r="E184" s="23">
        <v>-7.4267998289292798</v>
      </c>
      <c r="F184" s="25">
        <v>2.9991725648751899</v>
      </c>
      <c r="G184" s="11">
        <f t="shared" si="18"/>
        <v>-68.009612854281627</v>
      </c>
      <c r="H184" s="11">
        <f t="shared" si="19"/>
        <v>31.06693931515251</v>
      </c>
      <c r="I184" s="34">
        <f t="shared" si="20"/>
        <v>1.609427935361921E-2</v>
      </c>
      <c r="J184" s="34">
        <f t="shared" si="21"/>
        <v>0.05</v>
      </c>
      <c r="K184" s="34">
        <f t="shared" si="22"/>
        <v>0.05</v>
      </c>
      <c r="L184" s="38">
        <f t="shared" si="23"/>
        <v>131.35370416451855</v>
      </c>
      <c r="M184" s="38">
        <f t="shared" si="24"/>
        <v>127.94101296730703</v>
      </c>
      <c r="N184" s="6"/>
      <c r="O184" s="6"/>
    </row>
    <row r="185" spans="2:15">
      <c r="B185">
        <v>129.63</v>
      </c>
      <c r="C185">
        <v>126.25</v>
      </c>
      <c r="D185" s="7">
        <f t="shared" si="17"/>
        <v>127.94</v>
      </c>
      <c r="E185" s="23">
        <v>-7.0562684670604501</v>
      </c>
      <c r="F185" s="25">
        <v>2.3631933927242801E-2</v>
      </c>
      <c r="G185" s="11">
        <f t="shared" si="18"/>
        <v>-89.808113166356279</v>
      </c>
      <c r="H185" s="11">
        <f t="shared" si="19"/>
        <v>21.798500312074651</v>
      </c>
      <c r="I185" s="34">
        <f t="shared" si="20"/>
        <v>2.2937357746717988E-2</v>
      </c>
      <c r="J185" s="34">
        <f t="shared" si="21"/>
        <v>0.05</v>
      </c>
      <c r="K185" s="34">
        <f t="shared" si="22"/>
        <v>0.05</v>
      </c>
      <c r="L185" s="38">
        <f t="shared" si="23"/>
        <v>131.18301895629261</v>
      </c>
      <c r="M185" s="38">
        <f t="shared" si="24"/>
        <v>128.02206311703168</v>
      </c>
      <c r="N185" s="6"/>
      <c r="O185" s="6"/>
    </row>
    <row r="186" spans="2:15">
      <c r="B186">
        <v>127.25</v>
      </c>
      <c r="C186">
        <v>124.37</v>
      </c>
      <c r="D186" s="7">
        <f t="shared" si="17"/>
        <v>125.81</v>
      </c>
      <c r="E186" s="23">
        <v>-5.2066106664051102</v>
      </c>
      <c r="F186" s="25">
        <v>-1.28708590318014</v>
      </c>
      <c r="G186" s="11">
        <f t="shared" si="18"/>
        <v>76.114725135950408</v>
      </c>
      <c r="H186" s="11">
        <f t="shared" si="19"/>
        <v>1</v>
      </c>
      <c r="I186" s="34">
        <f t="shared" si="20"/>
        <v>0.5</v>
      </c>
      <c r="J186" s="34">
        <f t="shared" si="21"/>
        <v>0.5</v>
      </c>
      <c r="K186" s="34">
        <f t="shared" si="22"/>
        <v>0.5</v>
      </c>
      <c r="L186" s="38">
        <f t="shared" si="23"/>
        <v>128.49650947814632</v>
      </c>
      <c r="M186" s="38">
        <f t="shared" si="24"/>
        <v>128.14067470731032</v>
      </c>
      <c r="N186" s="6"/>
      <c r="O186" s="6"/>
    </row>
    <row r="187" spans="2:15">
      <c r="B187">
        <v>127.81</v>
      </c>
      <c r="C187">
        <v>121.44</v>
      </c>
      <c r="D187" s="7">
        <f t="shared" si="17"/>
        <v>124.625</v>
      </c>
      <c r="E187" s="23">
        <v>-5.8773566485659803</v>
      </c>
      <c r="F187" s="25">
        <v>-2.7173888295800102</v>
      </c>
      <c r="G187" s="11">
        <f t="shared" si="18"/>
        <v>65.186595352758857</v>
      </c>
      <c r="H187" s="11">
        <f t="shared" si="19"/>
        <v>10.928129783191551</v>
      </c>
      <c r="I187" s="34">
        <f t="shared" si="20"/>
        <v>4.5753482976478292E-2</v>
      </c>
      <c r="J187" s="34">
        <f t="shared" si="21"/>
        <v>0.05</v>
      </c>
      <c r="K187" s="34">
        <f t="shared" si="22"/>
        <v>0.05</v>
      </c>
      <c r="L187" s="38">
        <f t="shared" si="23"/>
        <v>128.30293400423901</v>
      </c>
      <c r="M187" s="38">
        <f t="shared" si="24"/>
        <v>128.14473118973353</v>
      </c>
      <c r="N187" s="6"/>
      <c r="O187" s="6"/>
    </row>
    <row r="188" spans="2:15">
      <c r="B188">
        <v>125</v>
      </c>
      <c r="C188">
        <v>120.44</v>
      </c>
      <c r="D188" s="7">
        <f t="shared" si="17"/>
        <v>122.72</v>
      </c>
      <c r="E188" s="23">
        <v>-3.6461782452550602</v>
      </c>
      <c r="F188" s="25">
        <v>-5.0279849727059203</v>
      </c>
      <c r="G188" s="11">
        <f t="shared" si="18"/>
        <v>35.948752581723376</v>
      </c>
      <c r="H188" s="11">
        <f t="shared" si="19"/>
        <v>29.237842771035481</v>
      </c>
      <c r="I188" s="34">
        <f t="shared" si="20"/>
        <v>1.7101124864633509E-2</v>
      </c>
      <c r="J188" s="34">
        <f t="shared" si="21"/>
        <v>0.05</v>
      </c>
      <c r="K188" s="34">
        <f t="shared" si="22"/>
        <v>0.05</v>
      </c>
      <c r="L188" s="38">
        <f t="shared" si="23"/>
        <v>128.02378730402705</v>
      </c>
      <c r="M188" s="38">
        <f t="shared" si="24"/>
        <v>128.14170759259088</v>
      </c>
      <c r="N188" s="6"/>
      <c r="O188" s="6"/>
    </row>
    <row r="189" spans="2:15">
      <c r="B189">
        <v>126.81</v>
      </c>
      <c r="C189">
        <v>121.37</v>
      </c>
      <c r="D189" s="7">
        <f t="shared" si="17"/>
        <v>124.09</v>
      </c>
      <c r="E189" s="23">
        <v>0.82201930306728699</v>
      </c>
      <c r="F189" s="25">
        <v>-5.0367674467088799</v>
      </c>
      <c r="G189" s="11">
        <f t="shared" si="18"/>
        <v>-9.2691660525110695</v>
      </c>
      <c r="H189" s="11">
        <f t="shared" si="19"/>
        <v>45.217918634234444</v>
      </c>
      <c r="I189" s="34">
        <f t="shared" si="20"/>
        <v>1.1057563353246659E-2</v>
      </c>
      <c r="J189" s="34">
        <f t="shared" si="21"/>
        <v>0.05</v>
      </c>
      <c r="K189" s="34">
        <f t="shared" si="22"/>
        <v>0.05</v>
      </c>
      <c r="L189" s="38">
        <f t="shared" si="23"/>
        <v>127.82709793882569</v>
      </c>
      <c r="M189" s="38">
        <f t="shared" si="24"/>
        <v>128.13384235124673</v>
      </c>
      <c r="N189" s="6"/>
      <c r="O189" s="6"/>
    </row>
    <row r="190" spans="2:15">
      <c r="B190">
        <v>124.75</v>
      </c>
      <c r="C190">
        <v>121.69</v>
      </c>
      <c r="D190" s="7">
        <f t="shared" si="17"/>
        <v>123.22</v>
      </c>
      <c r="E190" s="23">
        <v>0.80805542440406697</v>
      </c>
      <c r="F190" s="25">
        <v>-3.8860401051124498</v>
      </c>
      <c r="G190" s="11">
        <f t="shared" si="18"/>
        <v>-11.746578746936388</v>
      </c>
      <c r="H190" s="11">
        <f t="shared" si="19"/>
        <v>2.4774126944253183</v>
      </c>
      <c r="I190" s="34">
        <f t="shared" si="20"/>
        <v>0.20182345925856501</v>
      </c>
      <c r="J190" s="34">
        <f t="shared" si="21"/>
        <v>0.20182345925856501</v>
      </c>
      <c r="K190" s="34">
        <f t="shared" si="22"/>
        <v>0.20182345925856501</v>
      </c>
      <c r="L190" s="38">
        <f t="shared" si="23"/>
        <v>126.89727749566889</v>
      </c>
      <c r="M190" s="38">
        <f t="shared" si="24"/>
        <v>128.00905845287159</v>
      </c>
      <c r="N190" s="6"/>
      <c r="O190" s="6"/>
    </row>
    <row r="191" spans="2:15">
      <c r="B191">
        <v>122.81</v>
      </c>
      <c r="C191">
        <v>120</v>
      </c>
      <c r="D191" s="7">
        <f t="shared" si="17"/>
        <v>121.405</v>
      </c>
      <c r="E191" s="23">
        <v>9.5229787486074496E-2</v>
      </c>
      <c r="F191" s="25">
        <v>-4.08252754014506</v>
      </c>
      <c r="G191" s="11">
        <f t="shared" si="18"/>
        <v>-1.3362495590968395</v>
      </c>
      <c r="H191" s="11">
        <f t="shared" si="19"/>
        <v>1</v>
      </c>
      <c r="I191" s="34">
        <f t="shared" si="20"/>
        <v>0.5</v>
      </c>
      <c r="J191" s="34">
        <f t="shared" si="21"/>
        <v>0.5</v>
      </c>
      <c r="K191" s="34">
        <f t="shared" si="22"/>
        <v>0.5</v>
      </c>
      <c r="L191" s="38">
        <f t="shared" si="23"/>
        <v>124.15113874783444</v>
      </c>
      <c r="M191" s="38">
        <f t="shared" si="24"/>
        <v>127.0445785266123</v>
      </c>
      <c r="N191" s="6"/>
      <c r="O191" s="6"/>
    </row>
    <row r="192" spans="2:15">
      <c r="B192">
        <v>122.25</v>
      </c>
      <c r="C192">
        <v>119.62</v>
      </c>
      <c r="D192" s="7">
        <f t="shared" si="17"/>
        <v>120.935</v>
      </c>
      <c r="E192" s="23">
        <v>0.19800634750482499</v>
      </c>
      <c r="F192" s="25">
        <v>-4.0411031927791399</v>
      </c>
      <c r="G192" s="11">
        <f t="shared" si="18"/>
        <v>-2.8051404596155702</v>
      </c>
      <c r="H192" s="11">
        <f t="shared" si="19"/>
        <v>1.4688909005187307</v>
      </c>
      <c r="I192" s="34">
        <f t="shared" si="20"/>
        <v>0.34039287725414308</v>
      </c>
      <c r="J192" s="34">
        <f t="shared" si="21"/>
        <v>0.34039287725414308</v>
      </c>
      <c r="K192" s="34">
        <f t="shared" si="22"/>
        <v>0.34039287725414308</v>
      </c>
      <c r="L192" s="38">
        <f t="shared" si="23"/>
        <v>123.05638802581052</v>
      </c>
      <c r="M192" s="38">
        <f t="shared" si="24"/>
        <v>126.36580270680952</v>
      </c>
      <c r="N192" s="6"/>
      <c r="O192" s="6"/>
    </row>
    <row r="193" spans="2:15">
      <c r="B193">
        <v>121.06</v>
      </c>
      <c r="C193">
        <v>115.5</v>
      </c>
      <c r="D193" s="7">
        <f t="shared" si="17"/>
        <v>118.28</v>
      </c>
      <c r="E193" s="23">
        <v>0.72215253185138895</v>
      </c>
      <c r="F193" s="25">
        <v>-4.4003950292076199</v>
      </c>
      <c r="G193" s="11">
        <f t="shared" si="18"/>
        <v>-9.3197832225166142</v>
      </c>
      <c r="H193" s="11">
        <f t="shared" si="19"/>
        <v>6.5146427629010439</v>
      </c>
      <c r="I193" s="34">
        <f t="shared" si="20"/>
        <v>7.6750179280336214E-2</v>
      </c>
      <c r="J193" s="34">
        <f t="shared" si="21"/>
        <v>7.6750179280336214E-2</v>
      </c>
      <c r="K193" s="34">
        <f t="shared" si="22"/>
        <v>7.6750179280336214E-2</v>
      </c>
      <c r="L193" s="38">
        <f t="shared" si="23"/>
        <v>122.68979938851712</v>
      </c>
      <c r="M193" s="38">
        <f t="shared" si="24"/>
        <v>126.2247357499525</v>
      </c>
      <c r="N193" s="6"/>
      <c r="O193" s="6"/>
    </row>
    <row r="194" spans="2:15">
      <c r="B194">
        <v>120</v>
      </c>
      <c r="C194">
        <v>116.75</v>
      </c>
      <c r="D194" s="7">
        <f t="shared" si="17"/>
        <v>118.375</v>
      </c>
      <c r="E194" s="23">
        <v>2.9184382044023698</v>
      </c>
      <c r="F194" s="25">
        <v>-3.6221878122344502</v>
      </c>
      <c r="G194" s="11">
        <f t="shared" si="18"/>
        <v>-38.858790960634856</v>
      </c>
      <c r="H194" s="11">
        <f t="shared" si="19"/>
        <v>29.539007738118244</v>
      </c>
      <c r="I194" s="34">
        <f t="shared" si="20"/>
        <v>1.6926770338151244E-2</v>
      </c>
      <c r="J194" s="34">
        <f t="shared" si="21"/>
        <v>0.05</v>
      </c>
      <c r="K194" s="34">
        <f t="shared" si="22"/>
        <v>0.05</v>
      </c>
      <c r="L194" s="38">
        <f t="shared" si="23"/>
        <v>122.47405941909126</v>
      </c>
      <c r="M194" s="38">
        <f t="shared" si="24"/>
        <v>126.13096884168097</v>
      </c>
      <c r="N194" s="6"/>
      <c r="O194" s="6"/>
    </row>
    <row r="195" spans="2:15">
      <c r="B195">
        <v>123.25</v>
      </c>
      <c r="C195">
        <v>119.06</v>
      </c>
      <c r="D195" s="7">
        <f t="shared" si="17"/>
        <v>121.155</v>
      </c>
      <c r="E195" s="23">
        <v>1.1352975413480699</v>
      </c>
      <c r="F195" s="25">
        <v>-2.1301798267640302</v>
      </c>
      <c r="G195" s="11">
        <f t="shared" si="18"/>
        <v>-28.055765991821904</v>
      </c>
      <c r="H195" s="11">
        <f t="shared" si="19"/>
        <v>1</v>
      </c>
      <c r="I195" s="34">
        <f t="shared" si="20"/>
        <v>0.5</v>
      </c>
      <c r="J195" s="34">
        <f t="shared" si="21"/>
        <v>0.5</v>
      </c>
      <c r="K195" s="34">
        <f t="shared" si="22"/>
        <v>0.5</v>
      </c>
      <c r="L195" s="38">
        <f t="shared" si="23"/>
        <v>121.81452970954564</v>
      </c>
      <c r="M195" s="38">
        <f t="shared" si="24"/>
        <v>125.05185905864714</v>
      </c>
      <c r="N195" s="6"/>
      <c r="O195" s="6"/>
    </row>
    <row r="196" spans="2:15">
      <c r="B196">
        <v>122.75</v>
      </c>
      <c r="C196">
        <v>119.06</v>
      </c>
      <c r="D196" s="7">
        <f t="shared" si="17"/>
        <v>120.905</v>
      </c>
      <c r="E196" s="23">
        <v>-1.08479453606972</v>
      </c>
      <c r="F196" s="25">
        <v>-2.72853126259499</v>
      </c>
      <c r="G196" s="11">
        <f t="shared" si="18"/>
        <v>21.68150838183336</v>
      </c>
      <c r="H196" s="11">
        <f t="shared" si="19"/>
        <v>1</v>
      </c>
      <c r="I196" s="34">
        <f t="shared" si="20"/>
        <v>0.5</v>
      </c>
      <c r="J196" s="34">
        <f t="shared" si="21"/>
        <v>0.5</v>
      </c>
      <c r="K196" s="34">
        <f t="shared" si="22"/>
        <v>0.5</v>
      </c>
      <c r="L196" s="38">
        <f t="shared" si="23"/>
        <v>121.35976485477282</v>
      </c>
      <c r="M196" s="38">
        <f t="shared" si="24"/>
        <v>124.12883550767856</v>
      </c>
      <c r="N196" s="6"/>
      <c r="O196" s="6"/>
    </row>
    <row r="197" spans="2:15">
      <c r="B197">
        <v>119.19</v>
      </c>
      <c r="C197">
        <v>115.06</v>
      </c>
      <c r="D197" s="7">
        <f t="shared" si="17"/>
        <v>117.125</v>
      </c>
      <c r="E197" s="23">
        <v>-0.93030976407213795</v>
      </c>
      <c r="F197" s="25">
        <v>-3.0489370051092801</v>
      </c>
      <c r="G197" s="11">
        <f t="shared" si="18"/>
        <v>16.968307264727308</v>
      </c>
      <c r="H197" s="11">
        <f t="shared" si="19"/>
        <v>4.7132011171060526</v>
      </c>
      <c r="I197" s="34">
        <f t="shared" si="20"/>
        <v>0.10608501262237764</v>
      </c>
      <c r="J197" s="34">
        <f t="shared" si="21"/>
        <v>0.10608501262237764</v>
      </c>
      <c r="K197" s="34">
        <f t="shared" si="22"/>
        <v>0.10608501262237764</v>
      </c>
      <c r="L197" s="38">
        <f t="shared" si="23"/>
        <v>120.91051977170143</v>
      </c>
      <c r="M197" s="38">
        <f t="shared" si="24"/>
        <v>123.9581279749416</v>
      </c>
      <c r="N197" s="6"/>
      <c r="O197" s="6"/>
    </row>
    <row r="198" spans="2:15">
      <c r="B198">
        <v>115.06</v>
      </c>
      <c r="C198">
        <v>111.06</v>
      </c>
      <c r="D198" s="7">
        <f t="shared" ref="D198:D256" si="25">(B198+C198)/2</f>
        <v>113.06</v>
      </c>
      <c r="E198" s="23">
        <v>-0.85860246584269995</v>
      </c>
      <c r="F198" s="25">
        <v>-3.8105332026770302</v>
      </c>
      <c r="G198" s="11">
        <f t="shared" si="18"/>
        <v>12.698021287476738</v>
      </c>
      <c r="H198" s="11">
        <f t="shared" si="19"/>
        <v>4.2702859772505697</v>
      </c>
      <c r="I198" s="34">
        <f t="shared" si="20"/>
        <v>0.11708817691922492</v>
      </c>
      <c r="J198" s="34">
        <f t="shared" si="21"/>
        <v>0.11708817691922492</v>
      </c>
      <c r="K198" s="34">
        <f t="shared" si="22"/>
        <v>0.11708817691922492</v>
      </c>
      <c r="L198" s="38">
        <f t="shared" si="23"/>
        <v>119.99131672376458</v>
      </c>
      <c r="M198" s="38">
        <f t="shared" si="24"/>
        <v>123.72589462615011</v>
      </c>
      <c r="N198" s="6"/>
      <c r="O198" s="6"/>
    </row>
    <row r="199" spans="2:15">
      <c r="B199">
        <v>116.69</v>
      </c>
      <c r="C199">
        <v>113.12</v>
      </c>
      <c r="D199" s="7">
        <f t="shared" si="25"/>
        <v>114.905</v>
      </c>
      <c r="E199" s="23">
        <v>3.74811322179887</v>
      </c>
      <c r="F199" s="25">
        <v>-4.0690221019589599</v>
      </c>
      <c r="G199" s="11">
        <f t="shared" si="18"/>
        <v>-42.649214798348922</v>
      </c>
      <c r="H199" s="11">
        <f t="shared" si="19"/>
        <v>55.347236085825656</v>
      </c>
      <c r="I199" s="34">
        <f t="shared" si="20"/>
        <v>9.0338747760531669E-3</v>
      </c>
      <c r="J199" s="34">
        <f t="shared" si="21"/>
        <v>0.05</v>
      </c>
      <c r="K199" s="34">
        <f t="shared" si="22"/>
        <v>0.05</v>
      </c>
      <c r="L199" s="38">
        <f t="shared" si="23"/>
        <v>119.73700088757634</v>
      </c>
      <c r="M199" s="38">
        <f t="shared" si="24"/>
        <v>123.62617228268577</v>
      </c>
      <c r="N199" s="6"/>
      <c r="O199" s="6"/>
    </row>
    <row r="200" spans="2:15">
      <c r="B200">
        <v>114.87</v>
      </c>
      <c r="C200">
        <v>110</v>
      </c>
      <c r="D200" s="7">
        <f t="shared" si="25"/>
        <v>112.435</v>
      </c>
      <c r="E200" s="23">
        <v>5.6402149672212696</v>
      </c>
      <c r="F200" s="25">
        <v>-1.37278903017323</v>
      </c>
      <c r="G200" s="11">
        <f t="shared" si="18"/>
        <v>-76.320590227656069</v>
      </c>
      <c r="H200" s="11">
        <f t="shared" si="19"/>
        <v>33.671375429307147</v>
      </c>
      <c r="I200" s="34">
        <f t="shared" si="20"/>
        <v>1.484940824736272E-2</v>
      </c>
      <c r="J200" s="34">
        <f t="shared" si="21"/>
        <v>0.05</v>
      </c>
      <c r="K200" s="34">
        <f t="shared" si="22"/>
        <v>0.05</v>
      </c>
      <c r="L200" s="38">
        <f t="shared" si="23"/>
        <v>119.37190084319752</v>
      </c>
      <c r="M200" s="38">
        <f t="shared" si="24"/>
        <v>123.51981549669857</v>
      </c>
      <c r="N200" s="6"/>
      <c r="O200" s="6"/>
    </row>
    <row r="201" spans="2:15">
      <c r="B201">
        <v>110.87</v>
      </c>
      <c r="C201">
        <v>105</v>
      </c>
      <c r="D201" s="7">
        <f t="shared" si="25"/>
        <v>107.935</v>
      </c>
      <c r="E201" s="23">
        <v>-2.0293928912536199</v>
      </c>
      <c r="F201" s="25">
        <v>0.25445649363087902</v>
      </c>
      <c r="G201" s="11">
        <f t="shared" si="18"/>
        <v>-82.853235544033595</v>
      </c>
      <c r="H201" s="11">
        <f t="shared" si="19"/>
        <v>6.5326453163775255</v>
      </c>
      <c r="I201" s="34">
        <f t="shared" si="20"/>
        <v>7.6538672434348448E-2</v>
      </c>
      <c r="J201" s="34">
        <f t="shared" si="21"/>
        <v>7.6538672434348448E-2</v>
      </c>
      <c r="K201" s="34">
        <f t="shared" si="22"/>
        <v>7.6538672434348448E-2</v>
      </c>
      <c r="L201" s="38">
        <f t="shared" si="23"/>
        <v>118.4965356358959</v>
      </c>
      <c r="M201" s="38">
        <f t="shared" si="24"/>
        <v>123.32757791079256</v>
      </c>
      <c r="N201" s="6"/>
      <c r="O201" s="6"/>
    </row>
    <row r="202" spans="2:15">
      <c r="B202">
        <v>107.25</v>
      </c>
      <c r="C202">
        <v>104.69</v>
      </c>
      <c r="D202" s="7">
        <f t="shared" si="25"/>
        <v>105.97</v>
      </c>
      <c r="E202" s="23">
        <v>-13.017668713741701</v>
      </c>
      <c r="F202" s="25">
        <v>-1.9476756321356401</v>
      </c>
      <c r="G202" s="11">
        <f t="shared" si="18"/>
        <v>81.490649244885418</v>
      </c>
      <c r="H202" s="11">
        <f t="shared" si="19"/>
        <v>1</v>
      </c>
      <c r="I202" s="34">
        <f t="shared" si="20"/>
        <v>0.5</v>
      </c>
      <c r="J202" s="34">
        <f t="shared" si="21"/>
        <v>0.5</v>
      </c>
      <c r="K202" s="34">
        <f t="shared" si="22"/>
        <v>0.5</v>
      </c>
      <c r="L202" s="38">
        <f t="shared" si="23"/>
        <v>112.23326781794795</v>
      </c>
      <c r="M202" s="38">
        <f t="shared" si="24"/>
        <v>120.5540003875814</v>
      </c>
      <c r="N202" s="6"/>
      <c r="O202" s="6"/>
    </row>
    <row r="203" spans="2:15">
      <c r="B203">
        <v>108.87</v>
      </c>
      <c r="C203">
        <v>103.87</v>
      </c>
      <c r="D203" s="7">
        <f t="shared" si="25"/>
        <v>106.37</v>
      </c>
      <c r="E203" s="23">
        <v>-14.3548625675149</v>
      </c>
      <c r="F203" s="25">
        <v>-6.7871808524512103</v>
      </c>
      <c r="G203" s="11">
        <f t="shared" si="18"/>
        <v>64.694557214471331</v>
      </c>
      <c r="H203" s="11">
        <f t="shared" si="19"/>
        <v>16.796092030414087</v>
      </c>
      <c r="I203" s="34">
        <f t="shared" si="20"/>
        <v>2.976882950478053E-2</v>
      </c>
      <c r="J203" s="34">
        <f t="shared" si="21"/>
        <v>0.05</v>
      </c>
      <c r="K203" s="34">
        <f t="shared" si="22"/>
        <v>0.05</v>
      </c>
      <c r="L203" s="38">
        <f t="shared" si="23"/>
        <v>111.94010442705054</v>
      </c>
      <c r="M203" s="38">
        <f t="shared" si="24"/>
        <v>120.33865298856813</v>
      </c>
      <c r="N203" s="6"/>
      <c r="O203" s="6"/>
    </row>
    <row r="204" spans="2:15">
      <c r="B204">
        <v>109</v>
      </c>
      <c r="C204">
        <v>104.69</v>
      </c>
      <c r="D204" s="7">
        <f t="shared" si="25"/>
        <v>106.845</v>
      </c>
      <c r="E204" s="23">
        <v>-5.6616553461972297</v>
      </c>
      <c r="F204" s="25">
        <v>-8.1519430805458892</v>
      </c>
      <c r="G204" s="11">
        <f t="shared" si="18"/>
        <v>34.780599332303261</v>
      </c>
      <c r="H204" s="11">
        <f t="shared" si="19"/>
        <v>29.91395788216807</v>
      </c>
      <c r="I204" s="34">
        <f t="shared" si="20"/>
        <v>1.6714605334724152E-2</v>
      </c>
      <c r="J204" s="34">
        <f t="shared" si="21"/>
        <v>0.05</v>
      </c>
      <c r="K204" s="34">
        <f t="shared" si="22"/>
        <v>0.05</v>
      </c>
      <c r="L204" s="38">
        <f t="shared" si="23"/>
        <v>111.685349205698</v>
      </c>
      <c r="M204" s="38">
        <f t="shared" si="24"/>
        <v>120.12232039399638</v>
      </c>
      <c r="N204" s="6"/>
      <c r="O204" s="6"/>
    </row>
    <row r="205" spans="2:15">
      <c r="B205">
        <v>108.5</v>
      </c>
      <c r="C205">
        <v>105.44</v>
      </c>
      <c r="D205" s="7">
        <f t="shared" si="25"/>
        <v>106.97</v>
      </c>
      <c r="E205" s="23">
        <v>-7.0882318882767201</v>
      </c>
      <c r="F205" s="25">
        <v>-8.1001909303017907</v>
      </c>
      <c r="G205" s="11">
        <f t="shared" si="18"/>
        <v>41.188187867099266</v>
      </c>
      <c r="H205" s="11">
        <f t="shared" si="19"/>
        <v>1</v>
      </c>
      <c r="I205" s="34">
        <f t="shared" si="20"/>
        <v>0.5</v>
      </c>
      <c r="J205" s="34">
        <f t="shared" si="21"/>
        <v>0.5</v>
      </c>
      <c r="K205" s="34">
        <f t="shared" si="22"/>
        <v>0.5</v>
      </c>
      <c r="L205" s="38">
        <f t="shared" si="23"/>
        <v>109.327674602849</v>
      </c>
      <c r="M205" s="38">
        <f t="shared" si="24"/>
        <v>117.42365894620954</v>
      </c>
      <c r="N205" s="6"/>
      <c r="O205" s="6"/>
    </row>
    <row r="206" spans="2:15">
      <c r="B206">
        <v>113.06</v>
      </c>
      <c r="C206">
        <v>107</v>
      </c>
      <c r="D206" s="7">
        <f t="shared" si="25"/>
        <v>110.03</v>
      </c>
      <c r="E206" s="23">
        <v>-4.7974865907278099</v>
      </c>
      <c r="F206" s="25">
        <v>-11.331528262024101</v>
      </c>
      <c r="G206" s="11">
        <f t="shared" si="18"/>
        <v>22.946588068884491</v>
      </c>
      <c r="H206" s="11">
        <f t="shared" si="19"/>
        <v>18.241599798214775</v>
      </c>
      <c r="I206" s="34">
        <f t="shared" si="20"/>
        <v>2.740987662984103E-2</v>
      </c>
      <c r="J206" s="34">
        <f t="shared" si="21"/>
        <v>0.05</v>
      </c>
      <c r="K206" s="34">
        <f t="shared" si="22"/>
        <v>0.05</v>
      </c>
      <c r="L206" s="38">
        <f t="shared" si="23"/>
        <v>109.36279087270654</v>
      </c>
      <c r="M206" s="38">
        <f t="shared" si="24"/>
        <v>117.22213724437196</v>
      </c>
      <c r="N206" s="6"/>
      <c r="O206" s="6"/>
    </row>
    <row r="207" spans="2:15">
      <c r="B207">
        <v>93</v>
      </c>
      <c r="C207">
        <v>89</v>
      </c>
      <c r="D207" s="7">
        <f t="shared" si="25"/>
        <v>91</v>
      </c>
      <c r="E207" s="23">
        <v>4.9571994046266097</v>
      </c>
      <c r="F207" s="25">
        <v>-11.550920181112501</v>
      </c>
      <c r="G207" s="11">
        <f t="shared" si="18"/>
        <v>-23.227101499644402</v>
      </c>
      <c r="H207" s="11">
        <f t="shared" si="19"/>
        <v>46.173689568528893</v>
      </c>
      <c r="I207" s="34">
        <f t="shared" si="20"/>
        <v>1.0828677644612365E-2</v>
      </c>
      <c r="J207" s="34">
        <f t="shared" si="21"/>
        <v>0.05</v>
      </c>
      <c r="K207" s="34">
        <f t="shared" si="22"/>
        <v>0.05</v>
      </c>
      <c r="L207" s="38">
        <f t="shared" si="23"/>
        <v>108.44465132907121</v>
      </c>
      <c r="M207" s="38">
        <f t="shared" si="24"/>
        <v>117.00270009648945</v>
      </c>
      <c r="N207" s="6"/>
      <c r="O207" s="6"/>
    </row>
    <row r="208" spans="2:15">
      <c r="B208">
        <v>94.62</v>
      </c>
      <c r="C208">
        <v>92.5</v>
      </c>
      <c r="D208" s="7">
        <f t="shared" si="25"/>
        <v>93.56</v>
      </c>
      <c r="E208" s="23">
        <v>11.741067876870099</v>
      </c>
      <c r="F208" s="25">
        <v>-8.9267303792332093</v>
      </c>
      <c r="G208" s="11">
        <f t="shared" si="18"/>
        <v>-52.754283005908931</v>
      </c>
      <c r="H208" s="11">
        <f t="shared" si="19"/>
        <v>29.52718150626453</v>
      </c>
      <c r="I208" s="34">
        <f t="shared" si="20"/>
        <v>1.6933549851140355E-2</v>
      </c>
      <c r="J208" s="34">
        <f t="shared" si="21"/>
        <v>0.05</v>
      </c>
      <c r="K208" s="34">
        <f t="shared" si="22"/>
        <v>0.05</v>
      </c>
      <c r="L208" s="38">
        <f t="shared" si="23"/>
        <v>107.70041876261764</v>
      </c>
      <c r="M208" s="38">
        <f t="shared" si="24"/>
        <v>116.77014306314265</v>
      </c>
      <c r="N208" s="6"/>
      <c r="O208" s="6"/>
    </row>
    <row r="209" spans="2:15">
      <c r="B209">
        <v>95.12</v>
      </c>
      <c r="C209">
        <v>92.12</v>
      </c>
      <c r="D209" s="7">
        <f t="shared" si="25"/>
        <v>93.62</v>
      </c>
      <c r="E209" s="23">
        <v>8.2053101652106992</v>
      </c>
      <c r="F209" s="25">
        <v>-4.7170883942657698</v>
      </c>
      <c r="G209" s="11">
        <f t="shared" ref="G209:G256" si="26">IF(F209&lt;&gt;0,DEGREES(ATAN(E209/F209)),0)</f>
        <v>-60.106162225088049</v>
      </c>
      <c r="H209" s="11">
        <f t="shared" si="19"/>
        <v>7.3518792191791178</v>
      </c>
      <c r="I209" s="34">
        <f t="shared" si="20"/>
        <v>6.8009822399643288E-2</v>
      </c>
      <c r="J209" s="34">
        <f t="shared" si="21"/>
        <v>6.8009822399643288E-2</v>
      </c>
      <c r="K209" s="34">
        <f t="shared" si="22"/>
        <v>6.8009822399643288E-2</v>
      </c>
      <c r="L209" s="38">
        <f t="shared" si="23"/>
        <v>106.74281198325943</v>
      </c>
      <c r="M209" s="38">
        <f t="shared" si="24"/>
        <v>116.42916456020001</v>
      </c>
      <c r="N209" s="6"/>
      <c r="O209" s="6"/>
    </row>
    <row r="210" spans="2:15">
      <c r="B210">
        <v>96</v>
      </c>
      <c r="C210">
        <v>94.62</v>
      </c>
      <c r="D210" s="7">
        <f t="shared" si="25"/>
        <v>95.31</v>
      </c>
      <c r="E210" s="23">
        <v>4.2544474722633501</v>
      </c>
      <c r="F210" s="25">
        <v>-3.18121912097445</v>
      </c>
      <c r="G210" s="11">
        <f t="shared" si="26"/>
        <v>-53.213077278230074</v>
      </c>
      <c r="H210" s="11">
        <f t="shared" ref="H210:H256" si="27">IF( (G209-G210) &lt; 1, 1, (G209-G210))</f>
        <v>1</v>
      </c>
      <c r="I210" s="34">
        <f t="shared" si="20"/>
        <v>0.5</v>
      </c>
      <c r="J210" s="34">
        <f t="shared" si="21"/>
        <v>0.5</v>
      </c>
      <c r="K210" s="34">
        <f t="shared" si="22"/>
        <v>0.5</v>
      </c>
      <c r="L210" s="38">
        <f t="shared" si="23"/>
        <v>101.02640599162972</v>
      </c>
      <c r="M210" s="38">
        <f t="shared" si="24"/>
        <v>112.57847491805744</v>
      </c>
      <c r="N210" s="6"/>
      <c r="O210" s="6"/>
    </row>
    <row r="211" spans="2:15">
      <c r="B211">
        <v>95.56</v>
      </c>
      <c r="C211">
        <v>92.81</v>
      </c>
      <c r="D211" s="7">
        <f t="shared" si="25"/>
        <v>94.185000000000002</v>
      </c>
      <c r="E211" s="23">
        <v>-9.3701382961920192</v>
      </c>
      <c r="F211" s="25">
        <v>-0.60270692586139796</v>
      </c>
      <c r="G211" s="11">
        <f t="shared" si="26"/>
        <v>86.31968539907794</v>
      </c>
      <c r="H211" s="11">
        <f t="shared" si="27"/>
        <v>1</v>
      </c>
      <c r="I211" s="34">
        <f t="shared" si="20"/>
        <v>0.5</v>
      </c>
      <c r="J211" s="34">
        <f t="shared" si="21"/>
        <v>0.5</v>
      </c>
      <c r="K211" s="34">
        <f t="shared" si="22"/>
        <v>0.5</v>
      </c>
      <c r="L211" s="38">
        <f t="shared" si="23"/>
        <v>97.605702995814852</v>
      </c>
      <c r="M211" s="38">
        <f t="shared" si="24"/>
        <v>108.83528193749679</v>
      </c>
      <c r="N211" s="6"/>
      <c r="O211" s="6"/>
    </row>
    <row r="212" spans="2:15">
      <c r="B212">
        <v>95.31</v>
      </c>
      <c r="C212">
        <v>94.25</v>
      </c>
      <c r="D212" s="7">
        <f t="shared" si="25"/>
        <v>94.78</v>
      </c>
      <c r="E212" s="23">
        <v>-22.623001451165798</v>
      </c>
      <c r="F212" s="25">
        <v>-10.0542585944912</v>
      </c>
      <c r="G212" s="11">
        <f t="shared" si="26"/>
        <v>66.03837541884576</v>
      </c>
      <c r="H212" s="11">
        <f t="shared" si="27"/>
        <v>20.28130998023218</v>
      </c>
      <c r="I212" s="34">
        <f t="shared" si="20"/>
        <v>2.4653239878851062E-2</v>
      </c>
      <c r="J212" s="34">
        <f t="shared" si="21"/>
        <v>0.05</v>
      </c>
      <c r="K212" s="34">
        <f t="shared" si="22"/>
        <v>0.05</v>
      </c>
      <c r="L212" s="38">
        <f t="shared" si="23"/>
        <v>97.464417846024105</v>
      </c>
      <c r="M212" s="38">
        <f t="shared" si="24"/>
        <v>108.55101033520998</v>
      </c>
      <c r="N212" s="6"/>
      <c r="O212" s="6"/>
    </row>
    <row r="213" spans="2:15">
      <c r="B213">
        <v>99</v>
      </c>
      <c r="C213">
        <v>96.25</v>
      </c>
      <c r="D213" s="7">
        <f t="shared" si="25"/>
        <v>97.625</v>
      </c>
      <c r="E213" s="23">
        <v>-1.6125062641195</v>
      </c>
      <c r="F213" s="25">
        <v>-16.7522832862822</v>
      </c>
      <c r="G213" s="11">
        <f t="shared" si="26"/>
        <v>5.4981187295144931</v>
      </c>
      <c r="H213" s="11">
        <f t="shared" si="27"/>
        <v>60.540256689331265</v>
      </c>
      <c r="I213" s="34">
        <f t="shared" si="20"/>
        <v>8.2589672945359797E-3</v>
      </c>
      <c r="J213" s="34">
        <f t="shared" si="21"/>
        <v>0.05</v>
      </c>
      <c r="K213" s="34">
        <f t="shared" si="22"/>
        <v>0.05</v>
      </c>
      <c r="L213" s="38">
        <f t="shared" si="23"/>
        <v>97.472446953722894</v>
      </c>
      <c r="M213" s="38">
        <f t="shared" si="24"/>
        <v>108.2740462506728</v>
      </c>
      <c r="N213" s="6"/>
      <c r="O213" s="6"/>
    </row>
    <row r="214" spans="2:15">
      <c r="B214">
        <v>98.81</v>
      </c>
      <c r="C214">
        <v>96.37</v>
      </c>
      <c r="D214" s="7">
        <f t="shared" si="25"/>
        <v>97.59</v>
      </c>
      <c r="E214" s="23">
        <v>14.6531315108999</v>
      </c>
      <c r="F214" s="25">
        <v>-11.3660804443572</v>
      </c>
      <c r="G214" s="11">
        <f t="shared" si="26"/>
        <v>-52.200130465318722</v>
      </c>
      <c r="H214" s="11">
        <f t="shared" si="27"/>
        <v>57.698249194833217</v>
      </c>
      <c r="I214" s="34">
        <f t="shared" si="20"/>
        <v>8.6657742128642291E-3</v>
      </c>
      <c r="J214" s="34">
        <f t="shared" si="21"/>
        <v>0.05</v>
      </c>
      <c r="K214" s="34">
        <f t="shared" si="22"/>
        <v>0.05</v>
      </c>
      <c r="L214" s="38">
        <f t="shared" si="23"/>
        <v>97.47832460603675</v>
      </c>
      <c r="M214" s="38">
        <f t="shared" si="24"/>
        <v>108.00415320955689</v>
      </c>
      <c r="N214" s="6"/>
      <c r="O214" s="6"/>
    </row>
    <row r="215" spans="2:15">
      <c r="B215">
        <v>96.81</v>
      </c>
      <c r="C215">
        <v>93.69</v>
      </c>
      <c r="D215" s="7">
        <f t="shared" si="25"/>
        <v>95.25</v>
      </c>
      <c r="E215" s="23">
        <v>19.837950474697699</v>
      </c>
      <c r="F215" s="25">
        <v>-7.6912860369125804</v>
      </c>
      <c r="G215" s="11">
        <f t="shared" si="26"/>
        <v>-68.808405231878552</v>
      </c>
      <c r="H215" s="11">
        <f t="shared" si="27"/>
        <v>16.60827476655983</v>
      </c>
      <c r="I215" s="34">
        <f t="shared" si="20"/>
        <v>3.0105474953168055E-2</v>
      </c>
      <c r="J215" s="34">
        <f t="shared" si="21"/>
        <v>0.05</v>
      </c>
      <c r="K215" s="34">
        <f t="shared" si="22"/>
        <v>0.05</v>
      </c>
      <c r="L215" s="38">
        <f t="shared" si="23"/>
        <v>97.366908375734909</v>
      </c>
      <c r="M215" s="38">
        <f t="shared" si="24"/>
        <v>107.73822208871132</v>
      </c>
      <c r="N215" s="6"/>
      <c r="O215" s="6"/>
    </row>
    <row r="216" spans="2:15">
      <c r="B216">
        <v>95.94</v>
      </c>
      <c r="C216">
        <v>93.5</v>
      </c>
      <c r="D216" s="7">
        <f t="shared" si="25"/>
        <v>94.72</v>
      </c>
      <c r="E216" s="23">
        <v>22.011724603324499</v>
      </c>
      <c r="F216" s="25">
        <v>-1.9202029083447101</v>
      </c>
      <c r="G216" s="11">
        <f t="shared" si="26"/>
        <v>-85.014397642015282</v>
      </c>
      <c r="H216" s="11">
        <f t="shared" si="27"/>
        <v>16.20599241013673</v>
      </c>
      <c r="I216" s="34">
        <f t="shared" si="20"/>
        <v>3.0852785028287047E-2</v>
      </c>
      <c r="J216" s="34">
        <f t="shared" si="21"/>
        <v>0.05</v>
      </c>
      <c r="K216" s="34">
        <f t="shared" si="22"/>
        <v>0.05</v>
      </c>
      <c r="L216" s="38">
        <f t="shared" si="23"/>
        <v>97.234562956948167</v>
      </c>
      <c r="M216" s="38">
        <f t="shared" si="24"/>
        <v>107.47563061041724</v>
      </c>
      <c r="N216" s="6"/>
      <c r="O216" s="6"/>
    </row>
    <row r="217" spans="2:15">
      <c r="B217">
        <v>94.44</v>
      </c>
      <c r="C217">
        <v>90</v>
      </c>
      <c r="D217" s="7">
        <f t="shared" si="25"/>
        <v>92.22</v>
      </c>
      <c r="E217" s="23">
        <v>12.2947215617603</v>
      </c>
      <c r="F217" s="25">
        <v>0.70733463211078096</v>
      </c>
      <c r="G217" s="11">
        <f t="shared" si="26"/>
        <v>86.70731345968764</v>
      </c>
      <c r="H217" s="11">
        <f t="shared" si="27"/>
        <v>1</v>
      </c>
      <c r="I217" s="34">
        <f t="shared" si="20"/>
        <v>0.5</v>
      </c>
      <c r="J217" s="34">
        <f t="shared" si="21"/>
        <v>0.5</v>
      </c>
      <c r="K217" s="34">
        <f t="shared" si="22"/>
        <v>0.5</v>
      </c>
      <c r="L217" s="38">
        <f t="shared" si="23"/>
        <v>94.727281478474083</v>
      </c>
      <c r="M217" s="38">
        <f t="shared" si="24"/>
        <v>104.28854332743146</v>
      </c>
      <c r="N217" s="6"/>
      <c r="O217" s="6"/>
    </row>
    <row r="218" spans="2:15">
      <c r="B218">
        <v>92.94</v>
      </c>
      <c r="C218">
        <v>90.19</v>
      </c>
      <c r="D218" s="7">
        <f t="shared" si="25"/>
        <v>91.564999999999998</v>
      </c>
      <c r="E218" s="23">
        <v>7.9739226260347502</v>
      </c>
      <c r="F218" s="25">
        <v>3.0397886644235599</v>
      </c>
      <c r="G218" s="11">
        <f t="shared" si="26"/>
        <v>69.13234191567156</v>
      </c>
      <c r="H218" s="11">
        <f t="shared" si="27"/>
        <v>17.57497154401608</v>
      </c>
      <c r="I218" s="34">
        <f t="shared" si="20"/>
        <v>2.8449548196864068E-2</v>
      </c>
      <c r="J218" s="34">
        <f t="shared" si="21"/>
        <v>0.05</v>
      </c>
      <c r="K218" s="34">
        <f t="shared" si="22"/>
        <v>0.05</v>
      </c>
      <c r="L218" s="38">
        <f t="shared" si="23"/>
        <v>94.56916740455037</v>
      </c>
      <c r="M218" s="38">
        <f t="shared" si="24"/>
        <v>104.04555892935943</v>
      </c>
      <c r="N218" s="6"/>
      <c r="O218" s="6"/>
    </row>
    <row r="219" spans="2:15">
      <c r="B219">
        <v>93.94</v>
      </c>
      <c r="C219">
        <v>90.5</v>
      </c>
      <c r="D219" s="7">
        <f t="shared" si="25"/>
        <v>92.22</v>
      </c>
      <c r="E219" s="23">
        <v>-4.6328562286876904</v>
      </c>
      <c r="F219" s="25">
        <v>4.4168089613972796</v>
      </c>
      <c r="G219" s="11">
        <f t="shared" si="26"/>
        <v>-46.367591555139427</v>
      </c>
      <c r="H219" s="11">
        <f t="shared" si="27"/>
        <v>115.49993347081099</v>
      </c>
      <c r="I219" s="34">
        <f t="shared" si="20"/>
        <v>4.3290068225568237E-3</v>
      </c>
      <c r="J219" s="34">
        <f t="shared" si="21"/>
        <v>0.05</v>
      </c>
      <c r="K219" s="34">
        <f t="shared" si="22"/>
        <v>0.05</v>
      </c>
      <c r="L219" s="38">
        <f t="shared" si="23"/>
        <v>94.451709034322846</v>
      </c>
      <c r="M219" s="38">
        <f t="shared" si="24"/>
        <v>103.80571268198352</v>
      </c>
      <c r="N219" s="6"/>
      <c r="O219" s="6"/>
    </row>
    <row r="220" spans="2:15">
      <c r="B220">
        <v>95.5</v>
      </c>
      <c r="C220">
        <v>92.12</v>
      </c>
      <c r="D220" s="7">
        <f t="shared" si="25"/>
        <v>93.81</v>
      </c>
      <c r="E220" s="23">
        <v>-13.178972568083401</v>
      </c>
      <c r="F220" s="25">
        <v>0.85901436133814901</v>
      </c>
      <c r="G220" s="11">
        <f t="shared" si="26"/>
        <v>-86.270697640153017</v>
      </c>
      <c r="H220" s="11">
        <f t="shared" si="27"/>
        <v>39.90310608501359</v>
      </c>
      <c r="I220" s="34">
        <f t="shared" si="20"/>
        <v>1.2530352873652234E-2</v>
      </c>
      <c r="J220" s="34">
        <f t="shared" si="21"/>
        <v>0.05</v>
      </c>
      <c r="K220" s="34">
        <f t="shared" si="22"/>
        <v>0.05</v>
      </c>
      <c r="L220" s="38">
        <f t="shared" si="23"/>
        <v>94.419623582606704</v>
      </c>
      <c r="M220" s="38">
        <f t="shared" si="24"/>
        <v>103.5710604544991</v>
      </c>
      <c r="N220" s="6"/>
      <c r="O220" s="6"/>
    </row>
    <row r="221" spans="2:15">
      <c r="B221">
        <v>97.06</v>
      </c>
      <c r="C221">
        <v>94.12</v>
      </c>
      <c r="D221" s="7">
        <f t="shared" si="25"/>
        <v>95.59</v>
      </c>
      <c r="E221" s="23">
        <v>-11.4437748413626</v>
      </c>
      <c r="F221" s="25">
        <v>-2.1694429485656799</v>
      </c>
      <c r="G221" s="11">
        <f t="shared" si="26"/>
        <v>79.26558857015894</v>
      </c>
      <c r="H221" s="11">
        <f t="shared" si="27"/>
        <v>1</v>
      </c>
      <c r="I221" s="34">
        <f t="shared" si="20"/>
        <v>0.5</v>
      </c>
      <c r="J221" s="34">
        <f t="shared" si="21"/>
        <v>0.5</v>
      </c>
      <c r="K221" s="34">
        <f t="shared" si="22"/>
        <v>0.5</v>
      </c>
      <c r="L221" s="38">
        <f t="shared" si="23"/>
        <v>95.004811791303354</v>
      </c>
      <c r="M221" s="38">
        <f t="shared" si="24"/>
        <v>101.42949828870016</v>
      </c>
      <c r="N221" s="6"/>
      <c r="O221" s="6"/>
    </row>
    <row r="222" spans="2:15">
      <c r="B222">
        <v>97.5</v>
      </c>
      <c r="C222">
        <v>94.87</v>
      </c>
      <c r="D222" s="7">
        <f t="shared" si="25"/>
        <v>96.185000000000002</v>
      </c>
      <c r="E222" s="23">
        <v>-7.5817479995356098</v>
      </c>
      <c r="F222" s="25">
        <v>-4.9418860459438996</v>
      </c>
      <c r="G222" s="11">
        <f t="shared" si="26"/>
        <v>56.903146559869334</v>
      </c>
      <c r="H222" s="11">
        <f t="shared" si="27"/>
        <v>22.362442010289605</v>
      </c>
      <c r="I222" s="34">
        <f t="shared" si="20"/>
        <v>2.2358917678576229E-2</v>
      </c>
      <c r="J222" s="34">
        <f t="shared" si="21"/>
        <v>0.05</v>
      </c>
      <c r="K222" s="34">
        <f t="shared" si="22"/>
        <v>0.05</v>
      </c>
      <c r="L222" s="38">
        <f t="shared" si="23"/>
        <v>95.063821201738193</v>
      </c>
      <c r="M222" s="38">
        <f t="shared" si="24"/>
        <v>101.27035636152611</v>
      </c>
      <c r="N222" s="6"/>
      <c r="O222" s="6"/>
    </row>
    <row r="223" spans="2:15">
      <c r="B223">
        <v>96.25</v>
      </c>
      <c r="C223">
        <v>93</v>
      </c>
      <c r="D223" s="7">
        <f t="shared" si="25"/>
        <v>94.625</v>
      </c>
      <c r="E223" s="23">
        <v>2.3394868510106899</v>
      </c>
      <c r="F223" s="25">
        <v>-6.2070040624430201</v>
      </c>
      <c r="G223" s="11">
        <f t="shared" si="26"/>
        <v>-20.651967888611285</v>
      </c>
      <c r="H223" s="11">
        <f t="shared" si="27"/>
        <v>77.555114448480623</v>
      </c>
      <c r="I223" s="34">
        <f t="shared" ref="I223:I256" si="28">$B$1/H223</f>
        <v>6.4470280723026574E-3</v>
      </c>
      <c r="J223" s="34">
        <f t="shared" ref="J223:J256" si="29">IF(I223 &lt; $C$1, $C$1, I223 )</f>
        <v>0.05</v>
      </c>
      <c r="K223" s="34">
        <f t="shared" ref="K223:K256" si="30">IF(J223 &gt; $B$1, $B$1, J223 )</f>
        <v>0.05</v>
      </c>
      <c r="L223" s="38">
        <f t="shared" ref="L223:L256" si="31">K223*D223 + (1-K223)*L222</f>
        <v>95.041880141651276</v>
      </c>
      <c r="M223" s="38">
        <f t="shared" ref="M223:M256" si="32">0.5*K223*L223+(1-0.5*K223)*M222</f>
        <v>101.11464445602924</v>
      </c>
      <c r="N223" s="6"/>
      <c r="O223" s="6"/>
    </row>
    <row r="224" spans="2:15">
      <c r="B224">
        <v>96.37</v>
      </c>
      <c r="C224">
        <v>93.87</v>
      </c>
      <c r="D224" s="7">
        <f t="shared" si="25"/>
        <v>95.12</v>
      </c>
      <c r="E224" s="23">
        <v>10.031430349942299</v>
      </c>
      <c r="F224" s="25">
        <v>-3.7013222600523998</v>
      </c>
      <c r="G224" s="11">
        <f t="shared" si="26"/>
        <v>-69.747324364953343</v>
      </c>
      <c r="H224" s="11">
        <f t="shared" si="27"/>
        <v>49.095356476342062</v>
      </c>
      <c r="I224" s="34">
        <f t="shared" si="28"/>
        <v>1.0184262543056157E-2</v>
      </c>
      <c r="J224" s="34">
        <f t="shared" si="29"/>
        <v>0.05</v>
      </c>
      <c r="K224" s="34">
        <f t="shared" si="30"/>
        <v>0.05</v>
      </c>
      <c r="L224" s="38">
        <f t="shared" si="31"/>
        <v>95.045786134568715</v>
      </c>
      <c r="M224" s="38">
        <f t="shared" si="32"/>
        <v>100.96292299799273</v>
      </c>
      <c r="N224" s="6"/>
      <c r="O224" s="6"/>
    </row>
    <row r="225" spans="2:15">
      <c r="B225">
        <v>95</v>
      </c>
      <c r="C225">
        <v>93</v>
      </c>
      <c r="D225" s="7">
        <f t="shared" si="25"/>
        <v>94</v>
      </c>
      <c r="E225" s="23">
        <v>10.7264528614495</v>
      </c>
      <c r="F225" s="25">
        <v>-0.216676265377091</v>
      </c>
      <c r="G225" s="11">
        <f t="shared" si="26"/>
        <v>-88.842772395073766</v>
      </c>
      <c r="H225" s="11">
        <f t="shared" si="27"/>
        <v>19.095448030120423</v>
      </c>
      <c r="I225" s="34">
        <f t="shared" si="28"/>
        <v>2.6184250781197661E-2</v>
      </c>
      <c r="J225" s="34">
        <f t="shared" si="29"/>
        <v>0.05</v>
      </c>
      <c r="K225" s="34">
        <f t="shared" si="30"/>
        <v>0.05</v>
      </c>
      <c r="L225" s="38">
        <f t="shared" si="31"/>
        <v>94.993496827840275</v>
      </c>
      <c r="M225" s="38">
        <f t="shared" si="32"/>
        <v>100.81368734373892</v>
      </c>
      <c r="N225" s="6"/>
      <c r="O225" s="6"/>
    </row>
    <row r="226" spans="2:15">
      <c r="B226">
        <v>94.87</v>
      </c>
      <c r="C226">
        <v>92.62</v>
      </c>
      <c r="D226" s="7">
        <f t="shared" si="25"/>
        <v>93.745000000000005</v>
      </c>
      <c r="E226" s="23">
        <v>7.31428268255004</v>
      </c>
      <c r="F226" s="25">
        <v>2.8182552909032599</v>
      </c>
      <c r="G226" s="11">
        <f t="shared" si="26"/>
        <v>68.927902012898898</v>
      </c>
      <c r="H226" s="11">
        <f t="shared" si="27"/>
        <v>1</v>
      </c>
      <c r="I226" s="34">
        <f t="shared" si="28"/>
        <v>0.5</v>
      </c>
      <c r="J226" s="34">
        <f t="shared" si="29"/>
        <v>0.5</v>
      </c>
      <c r="K226" s="34">
        <f t="shared" si="30"/>
        <v>0.5</v>
      </c>
      <c r="L226" s="38">
        <f t="shared" si="31"/>
        <v>94.369248413920133</v>
      </c>
      <c r="M226" s="38">
        <f t="shared" si="32"/>
        <v>99.202577611284227</v>
      </c>
      <c r="N226" s="6"/>
      <c r="O226" s="6"/>
    </row>
    <row r="227" spans="2:15">
      <c r="B227">
        <v>98.25</v>
      </c>
      <c r="C227">
        <v>93.56</v>
      </c>
      <c r="D227" s="7">
        <f t="shared" si="25"/>
        <v>95.905000000000001</v>
      </c>
      <c r="E227" s="23">
        <v>-4.0089614126770597E-2</v>
      </c>
      <c r="F227" s="25">
        <v>4.0301547472193997</v>
      </c>
      <c r="G227" s="11">
        <f t="shared" si="26"/>
        <v>-0.56992598993445376</v>
      </c>
      <c r="H227" s="11">
        <f t="shared" si="27"/>
        <v>69.497828002833344</v>
      </c>
      <c r="I227" s="34">
        <f t="shared" si="28"/>
        <v>7.1944694441330682E-3</v>
      </c>
      <c r="J227" s="34">
        <f t="shared" si="29"/>
        <v>0.05</v>
      </c>
      <c r="K227" s="34">
        <f t="shared" si="30"/>
        <v>0.05</v>
      </c>
      <c r="L227" s="38">
        <f t="shared" si="31"/>
        <v>94.446035993224115</v>
      </c>
      <c r="M227" s="38">
        <f t="shared" si="32"/>
        <v>99.083664070832725</v>
      </c>
      <c r="N227" s="6"/>
      <c r="O227" s="6"/>
    </row>
    <row r="228" spans="2:15">
      <c r="B228">
        <v>105.12</v>
      </c>
      <c r="C228">
        <v>98.37</v>
      </c>
      <c r="D228" s="7">
        <f t="shared" si="25"/>
        <v>101.745</v>
      </c>
      <c r="E228" s="23">
        <v>-5.0196496467160996</v>
      </c>
      <c r="F228" s="25">
        <v>2.2593927317438598</v>
      </c>
      <c r="G228" s="11">
        <f t="shared" si="26"/>
        <v>-65.767030510559493</v>
      </c>
      <c r="H228" s="11">
        <f t="shared" si="27"/>
        <v>65.197104520625047</v>
      </c>
      <c r="I228" s="34">
        <f t="shared" si="28"/>
        <v>7.6690522328614367E-3</v>
      </c>
      <c r="J228" s="34">
        <f t="shared" si="29"/>
        <v>0.05</v>
      </c>
      <c r="K228" s="34">
        <f t="shared" si="30"/>
        <v>0.05</v>
      </c>
      <c r="L228" s="38">
        <f t="shared" si="31"/>
        <v>94.810984193562902</v>
      </c>
      <c r="M228" s="38">
        <f t="shared" si="32"/>
        <v>98.97684707390097</v>
      </c>
      <c r="N228" s="6"/>
      <c r="O228" s="6"/>
    </row>
    <row r="229" spans="2:15">
      <c r="B229">
        <v>108.44</v>
      </c>
      <c r="C229">
        <v>104.44</v>
      </c>
      <c r="D229" s="7">
        <f t="shared" si="25"/>
        <v>106.44</v>
      </c>
      <c r="E229" s="23">
        <v>-4.0981562904942699</v>
      </c>
      <c r="F229" s="25">
        <v>0.46386460591506601</v>
      </c>
      <c r="G229" s="11">
        <f t="shared" si="26"/>
        <v>-83.542255026614683</v>
      </c>
      <c r="H229" s="11">
        <f t="shared" si="27"/>
        <v>17.775224516055189</v>
      </c>
      <c r="I229" s="34">
        <f t="shared" si="28"/>
        <v>2.8129039920051807E-2</v>
      </c>
      <c r="J229" s="34">
        <f t="shared" si="29"/>
        <v>0.05</v>
      </c>
      <c r="K229" s="34">
        <f t="shared" si="30"/>
        <v>0.05</v>
      </c>
      <c r="L229" s="38">
        <f t="shared" si="31"/>
        <v>95.392434983884755</v>
      </c>
      <c r="M229" s="38">
        <f t="shared" si="32"/>
        <v>98.887236771650564</v>
      </c>
      <c r="N229" s="6"/>
      <c r="O229" s="6"/>
    </row>
    <row r="230" spans="2:15">
      <c r="B230">
        <v>109.87</v>
      </c>
      <c r="C230">
        <v>106</v>
      </c>
      <c r="D230" s="7">
        <f t="shared" si="25"/>
        <v>107.935</v>
      </c>
      <c r="E230" s="23">
        <v>-1.1594018295526201</v>
      </c>
      <c r="F230" s="25">
        <v>-0.52712244128320196</v>
      </c>
      <c r="G230" s="11">
        <f t="shared" si="26"/>
        <v>65.551064729169241</v>
      </c>
      <c r="H230" s="11">
        <f t="shared" si="27"/>
        <v>1</v>
      </c>
      <c r="I230" s="34">
        <f t="shared" si="28"/>
        <v>0.5</v>
      </c>
      <c r="J230" s="34">
        <f t="shared" si="29"/>
        <v>0.5</v>
      </c>
      <c r="K230" s="34">
        <f t="shared" si="30"/>
        <v>0.5</v>
      </c>
      <c r="L230" s="38">
        <f t="shared" si="31"/>
        <v>101.66371749194238</v>
      </c>
      <c r="M230" s="38">
        <f t="shared" si="32"/>
        <v>99.581356951723507</v>
      </c>
      <c r="N230" s="6"/>
      <c r="O230" s="6"/>
    </row>
    <row r="231" spans="2:15">
      <c r="B231">
        <v>105</v>
      </c>
      <c r="C231">
        <v>101.81</v>
      </c>
      <c r="D231" s="7">
        <f t="shared" si="25"/>
        <v>103.405</v>
      </c>
      <c r="E231" s="23">
        <v>4.8059506572678803</v>
      </c>
      <c r="F231" s="25">
        <v>-0.86458618730501902</v>
      </c>
      <c r="G231" s="11">
        <f t="shared" si="26"/>
        <v>-79.80162621240062</v>
      </c>
      <c r="H231" s="11">
        <f t="shared" si="27"/>
        <v>145.35269094156985</v>
      </c>
      <c r="I231" s="34">
        <f t="shared" si="28"/>
        <v>3.4399087953658485E-3</v>
      </c>
      <c r="J231" s="34">
        <f t="shared" si="29"/>
        <v>0.05</v>
      </c>
      <c r="K231" s="34">
        <f t="shared" si="30"/>
        <v>0.05</v>
      </c>
      <c r="L231" s="38">
        <f t="shared" si="31"/>
        <v>101.75078161734525</v>
      </c>
      <c r="M231" s="38">
        <f t="shared" si="32"/>
        <v>99.635592568364046</v>
      </c>
      <c r="N231" s="6"/>
      <c r="O231" s="6"/>
    </row>
    <row r="232" spans="2:15">
      <c r="B232">
        <v>106</v>
      </c>
      <c r="C232">
        <v>104.12</v>
      </c>
      <c r="D232" s="7">
        <f t="shared" si="25"/>
        <v>105.06</v>
      </c>
      <c r="E232" s="23">
        <v>12.365269685701501</v>
      </c>
      <c r="F232" s="25">
        <v>1.63986134188871</v>
      </c>
      <c r="G232" s="11">
        <f t="shared" si="26"/>
        <v>82.445611829838455</v>
      </c>
      <c r="H232" s="11">
        <f t="shared" si="27"/>
        <v>1</v>
      </c>
      <c r="I232" s="34">
        <f t="shared" si="28"/>
        <v>0.5</v>
      </c>
      <c r="J232" s="34">
        <f t="shared" si="29"/>
        <v>0.5</v>
      </c>
      <c r="K232" s="34">
        <f t="shared" si="30"/>
        <v>0.5</v>
      </c>
      <c r="L232" s="38">
        <f t="shared" si="31"/>
        <v>103.40539080867262</v>
      </c>
      <c r="M232" s="38">
        <f t="shared" si="32"/>
        <v>100.5780421284412</v>
      </c>
      <c r="N232" s="6"/>
      <c r="O232" s="6"/>
    </row>
    <row r="233" spans="2:15">
      <c r="B233">
        <v>104.94</v>
      </c>
      <c r="C233">
        <v>103.37</v>
      </c>
      <c r="D233" s="7">
        <f t="shared" si="25"/>
        <v>104.155</v>
      </c>
      <c r="E233" s="23">
        <v>14.2825851090881</v>
      </c>
      <c r="F233" s="25">
        <v>6.8504347573052504</v>
      </c>
      <c r="G233" s="11">
        <f t="shared" si="26"/>
        <v>64.375970487027274</v>
      </c>
      <c r="H233" s="11">
        <f t="shared" si="27"/>
        <v>18.069641342811181</v>
      </c>
      <c r="I233" s="34">
        <f t="shared" si="28"/>
        <v>2.767072076939257E-2</v>
      </c>
      <c r="J233" s="34">
        <f t="shared" si="29"/>
        <v>0.05</v>
      </c>
      <c r="K233" s="34">
        <f t="shared" si="30"/>
        <v>0.05</v>
      </c>
      <c r="L233" s="38">
        <f t="shared" si="31"/>
        <v>103.44287126823899</v>
      </c>
      <c r="M233" s="38">
        <f t="shared" si="32"/>
        <v>100.64966285693615</v>
      </c>
      <c r="N233" s="6"/>
      <c r="O233" s="6"/>
    </row>
    <row r="234" spans="2:15">
      <c r="B234">
        <v>104.5</v>
      </c>
      <c r="C234">
        <v>102.12</v>
      </c>
      <c r="D234" s="7">
        <f t="shared" si="25"/>
        <v>103.31</v>
      </c>
      <c r="E234" s="23">
        <v>7.8028379337785596</v>
      </c>
      <c r="F234" s="25">
        <v>11.2765581383109</v>
      </c>
      <c r="G234" s="11">
        <f t="shared" si="26"/>
        <v>34.681377938570144</v>
      </c>
      <c r="H234" s="11">
        <f t="shared" si="27"/>
        <v>29.69459254845713</v>
      </c>
      <c r="I234" s="34">
        <f t="shared" si="28"/>
        <v>1.6838082529136402E-2</v>
      </c>
      <c r="J234" s="34">
        <f t="shared" si="29"/>
        <v>0.05</v>
      </c>
      <c r="K234" s="34">
        <f t="shared" si="30"/>
        <v>0.05</v>
      </c>
      <c r="L234" s="38">
        <f t="shared" si="31"/>
        <v>103.43622770482703</v>
      </c>
      <c r="M234" s="38">
        <f t="shared" si="32"/>
        <v>100.71932697813341</v>
      </c>
      <c r="N234" s="6"/>
      <c r="O234" s="6"/>
    </row>
    <row r="235" spans="2:15">
      <c r="B235">
        <v>104.44</v>
      </c>
      <c r="C235">
        <v>102.25</v>
      </c>
      <c r="D235" s="7">
        <f t="shared" si="25"/>
        <v>103.345</v>
      </c>
      <c r="E235" s="23">
        <v>-7.2858073817211499</v>
      </c>
      <c r="F235" s="25">
        <v>11.9177266025034</v>
      </c>
      <c r="G235" s="11">
        <f t="shared" si="26"/>
        <v>-31.439198474150675</v>
      </c>
      <c r="H235" s="11">
        <f t="shared" si="27"/>
        <v>66.120576412720823</v>
      </c>
      <c r="I235" s="34">
        <f t="shared" si="28"/>
        <v>7.5619425468862952E-3</v>
      </c>
      <c r="J235" s="34">
        <f t="shared" si="29"/>
        <v>0.05</v>
      </c>
      <c r="K235" s="34">
        <f t="shared" si="30"/>
        <v>0.05</v>
      </c>
      <c r="L235" s="38">
        <f t="shared" si="31"/>
        <v>103.43166631958567</v>
      </c>
      <c r="M235" s="38">
        <f t="shared" si="32"/>
        <v>100.78713546166972</v>
      </c>
      <c r="N235" s="6"/>
      <c r="O235" s="6"/>
    </row>
    <row r="236" spans="2:15">
      <c r="B236">
        <v>106.31</v>
      </c>
      <c r="C236">
        <v>103.37</v>
      </c>
      <c r="D236" s="7">
        <f t="shared" si="25"/>
        <v>104.84</v>
      </c>
      <c r="E236" s="23">
        <v>-19.2091117866355</v>
      </c>
      <c r="F236" s="25">
        <v>6.8284531011774803</v>
      </c>
      <c r="G236" s="11">
        <f t="shared" si="26"/>
        <v>-70.430722605655873</v>
      </c>
      <c r="H236" s="11">
        <f t="shared" si="27"/>
        <v>38.991524131505201</v>
      </c>
      <c r="I236" s="34">
        <f t="shared" si="28"/>
        <v>1.282329970774339E-2</v>
      </c>
      <c r="J236" s="34">
        <f t="shared" si="29"/>
        <v>0.05</v>
      </c>
      <c r="K236" s="34">
        <f t="shared" si="30"/>
        <v>0.05</v>
      </c>
      <c r="L236" s="38">
        <f t="shared" si="31"/>
        <v>103.50208300360639</v>
      </c>
      <c r="M236" s="38">
        <f t="shared" si="32"/>
        <v>100.85500915021814</v>
      </c>
      <c r="N236" s="6"/>
      <c r="O236" s="6"/>
    </row>
    <row r="237" spans="2:15">
      <c r="B237">
        <v>112.87</v>
      </c>
      <c r="C237">
        <v>107.94</v>
      </c>
      <c r="D237" s="7">
        <f t="shared" si="25"/>
        <v>110.405</v>
      </c>
      <c r="E237" s="23">
        <v>-15.7635557352717</v>
      </c>
      <c r="F237" s="25">
        <v>1.8145564582313101</v>
      </c>
      <c r="G237" s="11">
        <f t="shared" si="26"/>
        <v>-83.433534771288819</v>
      </c>
      <c r="H237" s="11">
        <f t="shared" si="27"/>
        <v>13.002812165632946</v>
      </c>
      <c r="I237" s="34">
        <f t="shared" si="28"/>
        <v>3.8453220244273306E-2</v>
      </c>
      <c r="J237" s="34">
        <f t="shared" si="29"/>
        <v>0.05</v>
      </c>
      <c r="K237" s="34">
        <f t="shared" si="30"/>
        <v>0.05</v>
      </c>
      <c r="L237" s="38">
        <f t="shared" si="31"/>
        <v>103.84722885342607</v>
      </c>
      <c r="M237" s="38">
        <f t="shared" si="32"/>
        <v>100.92981464279833</v>
      </c>
      <c r="N237" s="6"/>
      <c r="O237" s="6"/>
    </row>
    <row r="238" spans="2:15">
      <c r="B238">
        <v>116.5</v>
      </c>
      <c r="C238">
        <v>112.5</v>
      </c>
      <c r="D238" s="7">
        <f t="shared" si="25"/>
        <v>114.5</v>
      </c>
      <c r="E238" s="23">
        <v>-9.7801712230748805</v>
      </c>
      <c r="F238" s="25">
        <v>-0.32770329328411002</v>
      </c>
      <c r="G238" s="11">
        <f t="shared" si="26"/>
        <v>88.080913590588409</v>
      </c>
      <c r="H238" s="11">
        <f t="shared" si="27"/>
        <v>1</v>
      </c>
      <c r="I238" s="34">
        <f t="shared" si="28"/>
        <v>0.5</v>
      </c>
      <c r="J238" s="34">
        <f t="shared" si="29"/>
        <v>0.5</v>
      </c>
      <c r="K238" s="34">
        <f t="shared" si="30"/>
        <v>0.5</v>
      </c>
      <c r="L238" s="38">
        <f t="shared" si="31"/>
        <v>109.17361442671304</v>
      </c>
      <c r="M238" s="38">
        <f t="shared" si="32"/>
        <v>102.99076458877701</v>
      </c>
      <c r="N238" s="6"/>
      <c r="O238" s="6"/>
    </row>
    <row r="239" spans="2:15">
      <c r="B239">
        <v>119.19</v>
      </c>
      <c r="C239">
        <v>115.44</v>
      </c>
      <c r="D239" s="7">
        <f t="shared" si="25"/>
        <v>117.315</v>
      </c>
      <c r="E239" s="23">
        <v>-1.4530435472633401</v>
      </c>
      <c r="F239" s="25">
        <v>-2.51142613762282</v>
      </c>
      <c r="G239" s="11">
        <f t="shared" si="26"/>
        <v>30.05251845788035</v>
      </c>
      <c r="H239" s="11">
        <f t="shared" si="27"/>
        <v>58.028395132708056</v>
      </c>
      <c r="I239" s="34">
        <f t="shared" si="28"/>
        <v>8.6164712785270874E-3</v>
      </c>
      <c r="J239" s="34">
        <f t="shared" si="29"/>
        <v>0.05</v>
      </c>
      <c r="K239" s="34">
        <f t="shared" si="30"/>
        <v>0.05</v>
      </c>
      <c r="L239" s="38">
        <f t="shared" si="31"/>
        <v>109.5806837053774</v>
      </c>
      <c r="M239" s="38">
        <f t="shared" si="32"/>
        <v>103.15551256669201</v>
      </c>
      <c r="N239" s="6"/>
      <c r="O239" s="6"/>
    </row>
    <row r="240" spans="2:15">
      <c r="B240">
        <v>121</v>
      </c>
      <c r="C240">
        <v>115.5</v>
      </c>
      <c r="D240" s="7">
        <f t="shared" si="25"/>
        <v>118.25</v>
      </c>
      <c r="E240" s="23">
        <v>8.5090971942229903</v>
      </c>
      <c r="F240" s="25">
        <v>-1.2807406075201999</v>
      </c>
      <c r="G240" s="11">
        <f t="shared" si="26"/>
        <v>-81.440419088977706</v>
      </c>
      <c r="H240" s="11">
        <f t="shared" si="27"/>
        <v>111.49293754685806</v>
      </c>
      <c r="I240" s="34">
        <f t="shared" si="28"/>
        <v>4.484588988337139E-3</v>
      </c>
      <c r="J240" s="34">
        <f t="shared" si="29"/>
        <v>0.05</v>
      </c>
      <c r="K240" s="34">
        <f t="shared" si="30"/>
        <v>0.05</v>
      </c>
      <c r="L240" s="38">
        <f t="shared" si="31"/>
        <v>110.01414952010852</v>
      </c>
      <c r="M240" s="38">
        <f t="shared" si="32"/>
        <v>103.32697849052742</v>
      </c>
      <c r="N240" s="6"/>
      <c r="O240" s="6"/>
    </row>
    <row r="241" spans="2:15">
      <c r="B241">
        <v>122.12</v>
      </c>
      <c r="C241">
        <v>112.25</v>
      </c>
      <c r="D241" s="7">
        <f t="shared" si="25"/>
        <v>117.185</v>
      </c>
      <c r="E241" s="23">
        <v>15.536627133006</v>
      </c>
      <c r="F241" s="25">
        <v>1.4816605883429901</v>
      </c>
      <c r="G241" s="11">
        <f t="shared" si="26"/>
        <v>84.552425242608933</v>
      </c>
      <c r="H241" s="11">
        <f t="shared" si="27"/>
        <v>1</v>
      </c>
      <c r="I241" s="34">
        <f t="shared" si="28"/>
        <v>0.5</v>
      </c>
      <c r="J241" s="34">
        <f t="shared" si="29"/>
        <v>0.5</v>
      </c>
      <c r="K241" s="34">
        <f t="shared" si="30"/>
        <v>0.5</v>
      </c>
      <c r="L241" s="38">
        <f t="shared" si="31"/>
        <v>113.59957476005425</v>
      </c>
      <c r="M241" s="38">
        <f t="shared" si="32"/>
        <v>105.89512755790912</v>
      </c>
      <c r="N241" s="6"/>
      <c r="O241" s="6"/>
    </row>
    <row r="242" spans="2:15">
      <c r="B242">
        <v>111.94</v>
      </c>
      <c r="C242">
        <v>107.56</v>
      </c>
      <c r="D242" s="7">
        <f t="shared" si="25"/>
        <v>109.75</v>
      </c>
      <c r="E242" s="23">
        <v>19.521375917282601</v>
      </c>
      <c r="F242" s="25">
        <v>6.8349691240749397</v>
      </c>
      <c r="G242" s="11">
        <f t="shared" si="26"/>
        <v>70.703449774586176</v>
      </c>
      <c r="H242" s="11">
        <f t="shared" si="27"/>
        <v>13.848975468022758</v>
      </c>
      <c r="I242" s="34">
        <f t="shared" si="28"/>
        <v>3.6103753750918142E-2</v>
      </c>
      <c r="J242" s="34">
        <f t="shared" si="29"/>
        <v>0.05</v>
      </c>
      <c r="K242" s="34">
        <f t="shared" si="30"/>
        <v>0.05</v>
      </c>
      <c r="L242" s="38">
        <f t="shared" si="31"/>
        <v>113.40709602205153</v>
      </c>
      <c r="M242" s="38">
        <f t="shared" si="32"/>
        <v>106.08292676951268</v>
      </c>
      <c r="N242" s="6"/>
      <c r="O242" s="6"/>
    </row>
    <row r="243" spans="2:15">
      <c r="B243">
        <v>112.75</v>
      </c>
      <c r="C243">
        <v>106.56</v>
      </c>
      <c r="D243" s="7">
        <f t="shared" si="25"/>
        <v>109.655</v>
      </c>
      <c r="E243" s="23">
        <v>12.4727640008044</v>
      </c>
      <c r="F243" s="25">
        <v>12.293350954901401</v>
      </c>
      <c r="G243" s="11">
        <f t="shared" si="26"/>
        <v>45.415060275698075</v>
      </c>
      <c r="H243" s="11">
        <f t="shared" si="27"/>
        <v>25.288389498888101</v>
      </c>
      <c r="I243" s="34">
        <f t="shared" si="28"/>
        <v>1.9771919442398037E-2</v>
      </c>
      <c r="J243" s="34">
        <f t="shared" si="29"/>
        <v>0.05</v>
      </c>
      <c r="K243" s="34">
        <f t="shared" si="30"/>
        <v>0.05</v>
      </c>
      <c r="L243" s="38">
        <f t="shared" si="31"/>
        <v>113.21949122094895</v>
      </c>
      <c r="M243" s="38">
        <f t="shared" si="32"/>
        <v>106.26134088079858</v>
      </c>
      <c r="N243" s="6"/>
      <c r="O243" s="6"/>
    </row>
    <row r="244" spans="2:15">
      <c r="B244">
        <v>110.19</v>
      </c>
      <c r="C244">
        <v>106.87</v>
      </c>
      <c r="D244" s="7">
        <f t="shared" si="25"/>
        <v>108.53</v>
      </c>
      <c r="E244" s="23">
        <v>-1.87339714763586</v>
      </c>
      <c r="F244" s="25">
        <v>14.0337638058356</v>
      </c>
      <c r="G244" s="11">
        <f t="shared" si="26"/>
        <v>-7.603583140226907</v>
      </c>
      <c r="H244" s="11">
        <f t="shared" si="27"/>
        <v>53.018643415924984</v>
      </c>
      <c r="I244" s="34">
        <f t="shared" si="28"/>
        <v>9.4306449163091399E-3</v>
      </c>
      <c r="J244" s="34">
        <f t="shared" si="29"/>
        <v>0.05</v>
      </c>
      <c r="K244" s="34">
        <f t="shared" si="30"/>
        <v>0.05</v>
      </c>
      <c r="L244" s="38">
        <f t="shared" si="31"/>
        <v>112.9850166599015</v>
      </c>
      <c r="M244" s="38">
        <f t="shared" si="32"/>
        <v>106.42943277527615</v>
      </c>
      <c r="N244" s="6"/>
      <c r="O244" s="6"/>
    </row>
    <row r="245" spans="2:15">
      <c r="B245">
        <v>107.94</v>
      </c>
      <c r="C245">
        <v>104.5</v>
      </c>
      <c r="D245" s="7">
        <f t="shared" si="25"/>
        <v>106.22</v>
      </c>
      <c r="E245" s="23">
        <v>-15.2576036378734</v>
      </c>
      <c r="F245" s="25">
        <v>11.7623096904418</v>
      </c>
      <c r="G245" s="11">
        <f t="shared" si="26"/>
        <v>-52.370845039765342</v>
      </c>
      <c r="H245" s="11">
        <f t="shared" si="27"/>
        <v>44.767261899538433</v>
      </c>
      <c r="I245" s="34">
        <f t="shared" si="28"/>
        <v>1.1168876066667709E-2</v>
      </c>
      <c r="J245" s="34">
        <f t="shared" si="29"/>
        <v>0.05</v>
      </c>
      <c r="K245" s="34">
        <f t="shared" si="30"/>
        <v>0.05</v>
      </c>
      <c r="L245" s="38">
        <f t="shared" si="31"/>
        <v>112.64676582690643</v>
      </c>
      <c r="M245" s="38">
        <f t="shared" si="32"/>
        <v>106.5848661015669</v>
      </c>
      <c r="N245" s="6"/>
      <c r="O245" s="6"/>
    </row>
    <row r="246" spans="2:15">
      <c r="B246">
        <v>109.69</v>
      </c>
      <c r="C246">
        <v>105.75</v>
      </c>
      <c r="D246" s="7">
        <f t="shared" si="25"/>
        <v>107.72</v>
      </c>
      <c r="E246" s="23">
        <v>-26.227633864186199</v>
      </c>
      <c r="F246" s="25">
        <v>6.3689895877927496</v>
      </c>
      <c r="G246" s="11">
        <f t="shared" si="26"/>
        <v>-76.350774534068833</v>
      </c>
      <c r="H246" s="11">
        <f t="shared" si="27"/>
        <v>23.979929494303491</v>
      </c>
      <c r="I246" s="34">
        <f t="shared" si="28"/>
        <v>2.085077022927764E-2</v>
      </c>
      <c r="J246" s="34">
        <f t="shared" si="29"/>
        <v>0.05</v>
      </c>
      <c r="K246" s="34">
        <f t="shared" si="30"/>
        <v>0.05</v>
      </c>
      <c r="L246" s="38">
        <f t="shared" si="31"/>
        <v>112.40042753556111</v>
      </c>
      <c r="M246" s="38">
        <f t="shared" si="32"/>
        <v>106.73025513741676</v>
      </c>
      <c r="N246" s="6"/>
      <c r="O246" s="6"/>
    </row>
    <row r="247" spans="2:15">
      <c r="B247">
        <v>111.06</v>
      </c>
      <c r="C247">
        <v>108.62</v>
      </c>
      <c r="D247" s="7">
        <f t="shared" si="25"/>
        <v>109.84</v>
      </c>
      <c r="E247" s="23">
        <v>-26.102861993236498</v>
      </c>
      <c r="F247" s="25">
        <v>-2.9916104221273199</v>
      </c>
      <c r="G247" s="11">
        <f t="shared" si="26"/>
        <v>83.461941877323241</v>
      </c>
      <c r="H247" s="11">
        <f t="shared" si="27"/>
        <v>1</v>
      </c>
      <c r="I247" s="34">
        <f t="shared" si="28"/>
        <v>0.5</v>
      </c>
      <c r="J247" s="34">
        <f t="shared" si="29"/>
        <v>0.5</v>
      </c>
      <c r="K247" s="34">
        <f t="shared" si="30"/>
        <v>0.5</v>
      </c>
      <c r="L247" s="38">
        <f t="shared" si="31"/>
        <v>111.12021376778056</v>
      </c>
      <c r="M247" s="38">
        <f t="shared" si="32"/>
        <v>107.82774479500772</v>
      </c>
      <c r="N247" s="6"/>
      <c r="O247" s="6"/>
    </row>
    <row r="248" spans="2:15">
      <c r="B248">
        <v>110.44</v>
      </c>
      <c r="C248">
        <v>107.75</v>
      </c>
      <c r="D248" s="7">
        <f t="shared" si="25"/>
        <v>109.095</v>
      </c>
      <c r="E248" s="23">
        <v>-10.637560716706901</v>
      </c>
      <c r="F248" s="25">
        <v>-9.1496651812066307</v>
      </c>
      <c r="G248" s="11">
        <f t="shared" si="26"/>
        <v>49.300249194934409</v>
      </c>
      <c r="H248" s="11">
        <f t="shared" si="27"/>
        <v>34.161692682388832</v>
      </c>
      <c r="I248" s="34">
        <f t="shared" si="28"/>
        <v>1.463627709108694E-2</v>
      </c>
      <c r="J248" s="34">
        <f t="shared" si="29"/>
        <v>0.05</v>
      </c>
      <c r="K248" s="34">
        <f t="shared" si="30"/>
        <v>0.05</v>
      </c>
      <c r="L248" s="38">
        <f t="shared" si="31"/>
        <v>111.01895307939152</v>
      </c>
      <c r="M248" s="38">
        <f t="shared" si="32"/>
        <v>107.90752500211731</v>
      </c>
      <c r="N248" s="6"/>
      <c r="O248" s="6"/>
    </row>
    <row r="249" spans="2:15">
      <c r="B249">
        <v>110.12</v>
      </c>
      <c r="C249">
        <v>108.06</v>
      </c>
      <c r="D249" s="7">
        <f t="shared" si="25"/>
        <v>109.09</v>
      </c>
      <c r="E249" s="23">
        <v>0.571698633979417</v>
      </c>
      <c r="F249" s="25">
        <v>-8.5317201235389302</v>
      </c>
      <c r="G249" s="11">
        <f t="shared" si="26"/>
        <v>-3.8335791267446164</v>
      </c>
      <c r="H249" s="11">
        <f t="shared" si="27"/>
        <v>53.133828321679026</v>
      </c>
      <c r="I249" s="34">
        <f t="shared" si="28"/>
        <v>9.4102009170680435E-3</v>
      </c>
      <c r="J249" s="34">
        <f t="shared" si="29"/>
        <v>0.05</v>
      </c>
      <c r="K249" s="34">
        <f t="shared" si="30"/>
        <v>0.05</v>
      </c>
      <c r="L249" s="38">
        <f t="shared" si="31"/>
        <v>110.92250542542193</v>
      </c>
      <c r="M249" s="38">
        <f t="shared" si="32"/>
        <v>107.98289951269993</v>
      </c>
      <c r="N249" s="6"/>
      <c r="O249" s="6"/>
    </row>
    <row r="250" spans="2:15">
      <c r="B250">
        <v>110.31</v>
      </c>
      <c r="C250">
        <v>108</v>
      </c>
      <c r="D250" s="7">
        <f t="shared" si="25"/>
        <v>109.155</v>
      </c>
      <c r="E250" s="23">
        <v>6.4028836988426496</v>
      </c>
      <c r="F250" s="25">
        <v>-7.61738027465766</v>
      </c>
      <c r="G250" s="11">
        <f t="shared" si="26"/>
        <v>-40.049147714656378</v>
      </c>
      <c r="H250" s="11">
        <f t="shared" si="27"/>
        <v>36.215568587911761</v>
      </c>
      <c r="I250" s="34">
        <f t="shared" si="28"/>
        <v>1.3806217035810749E-2</v>
      </c>
      <c r="J250" s="34">
        <f t="shared" si="29"/>
        <v>0.05</v>
      </c>
      <c r="K250" s="34">
        <f t="shared" si="30"/>
        <v>0.05</v>
      </c>
      <c r="L250" s="38">
        <f t="shared" si="31"/>
        <v>110.83413015415084</v>
      </c>
      <c r="M250" s="38">
        <f t="shared" si="32"/>
        <v>108.0541802787362</v>
      </c>
      <c r="N250" s="6"/>
      <c r="O250" s="6"/>
    </row>
    <row r="251" spans="2:15">
      <c r="B251">
        <v>110.44</v>
      </c>
      <c r="C251">
        <v>108.19</v>
      </c>
      <c r="D251" s="7">
        <f t="shared" si="25"/>
        <v>109.315</v>
      </c>
      <c r="E251" s="23">
        <v>11.6669539404801</v>
      </c>
      <c r="F251" s="25">
        <v>-4.27219546995304</v>
      </c>
      <c r="G251" s="11">
        <f t="shared" si="26"/>
        <v>-69.888321929239055</v>
      </c>
      <c r="H251" s="11">
        <f t="shared" si="27"/>
        <v>29.839174214582677</v>
      </c>
      <c r="I251" s="34">
        <f t="shared" si="28"/>
        <v>1.6756495887062631E-2</v>
      </c>
      <c r="J251" s="34">
        <f t="shared" si="29"/>
        <v>0.05</v>
      </c>
      <c r="K251" s="34">
        <f t="shared" si="30"/>
        <v>0.05</v>
      </c>
      <c r="L251" s="38">
        <f t="shared" si="31"/>
        <v>110.7581736464433</v>
      </c>
      <c r="M251" s="38">
        <f t="shared" si="32"/>
        <v>108.12178011292886</v>
      </c>
      <c r="N251" s="6"/>
      <c r="O251" s="6"/>
    </row>
    <row r="252" spans="2:15">
      <c r="B252">
        <v>110</v>
      </c>
      <c r="C252">
        <v>108.12</v>
      </c>
      <c r="D252" s="7">
        <f t="shared" si="25"/>
        <v>109.06</v>
      </c>
      <c r="E252" s="23">
        <v>8.6355686833119396</v>
      </c>
      <c r="F252" s="25">
        <v>-0.120668292809277</v>
      </c>
      <c r="G252" s="11">
        <f t="shared" si="26"/>
        <v>-89.199435008942146</v>
      </c>
      <c r="H252" s="11">
        <f t="shared" si="27"/>
        <v>19.311113079703091</v>
      </c>
      <c r="I252" s="34">
        <f t="shared" si="28"/>
        <v>2.5891827049861982E-2</v>
      </c>
      <c r="J252" s="34">
        <f t="shared" si="29"/>
        <v>0.05</v>
      </c>
      <c r="K252" s="34">
        <f t="shared" si="30"/>
        <v>0.05</v>
      </c>
      <c r="L252" s="38">
        <f t="shared" si="31"/>
        <v>110.67326496412113</v>
      </c>
      <c r="M252" s="38">
        <f t="shared" si="32"/>
        <v>108.18556723420868</v>
      </c>
      <c r="N252" s="6"/>
      <c r="O252" s="6"/>
    </row>
    <row r="253" spans="2:15">
      <c r="B253">
        <v>110.75</v>
      </c>
      <c r="C253">
        <v>109.06</v>
      </c>
      <c r="D253" s="7">
        <f t="shared" si="25"/>
        <v>109.905</v>
      </c>
      <c r="E253" s="23">
        <v>3.0938152057236699</v>
      </c>
      <c r="F253" s="25">
        <v>1.28701279149952</v>
      </c>
      <c r="G253" s="11">
        <f t="shared" si="26"/>
        <v>67.412915766314157</v>
      </c>
      <c r="H253" s="11">
        <f t="shared" si="27"/>
        <v>1</v>
      </c>
      <c r="I253" s="34">
        <f t="shared" si="28"/>
        <v>0.5</v>
      </c>
      <c r="J253" s="34">
        <f t="shared" si="29"/>
        <v>0.5</v>
      </c>
      <c r="K253" s="34">
        <f t="shared" si="30"/>
        <v>0.5</v>
      </c>
      <c r="L253" s="38">
        <f t="shared" si="31"/>
        <v>110.28913248206057</v>
      </c>
      <c r="M253" s="38">
        <f t="shared" si="32"/>
        <v>108.71145854617164</v>
      </c>
      <c r="N253" s="6"/>
      <c r="O253" s="6"/>
    </row>
    <row r="254" spans="2:15">
      <c r="B254">
        <v>110.5</v>
      </c>
      <c r="C254">
        <v>108.75</v>
      </c>
      <c r="D254" s="7">
        <f t="shared" si="25"/>
        <v>109.625</v>
      </c>
      <c r="E254" s="23">
        <v>0.318119747396578</v>
      </c>
      <c r="F254" s="25">
        <v>1.2183925118060299</v>
      </c>
      <c r="G254" s="11">
        <f t="shared" si="26"/>
        <v>14.633123274687909</v>
      </c>
      <c r="H254" s="11">
        <f t="shared" si="27"/>
        <v>52.779792491626246</v>
      </c>
      <c r="I254" s="34">
        <f t="shared" si="28"/>
        <v>9.4733225804047496E-3</v>
      </c>
      <c r="J254" s="34">
        <f t="shared" si="29"/>
        <v>0.05</v>
      </c>
      <c r="K254" s="34">
        <f t="shared" si="30"/>
        <v>0.05</v>
      </c>
      <c r="L254" s="38">
        <f t="shared" si="31"/>
        <v>110.25592585795754</v>
      </c>
      <c r="M254" s="38">
        <f t="shared" si="32"/>
        <v>108.75007022896629</v>
      </c>
      <c r="N254" s="6"/>
      <c r="O254" s="6"/>
    </row>
    <row r="255" spans="2:15">
      <c r="B255">
        <v>110.5</v>
      </c>
      <c r="C255">
        <v>108.56</v>
      </c>
      <c r="D255" s="7">
        <f t="shared" si="25"/>
        <v>109.53</v>
      </c>
      <c r="E255" s="23">
        <v>-0.89136296338925103</v>
      </c>
      <c r="F255" s="25">
        <v>0.83864841986802297</v>
      </c>
      <c r="G255" s="11">
        <f t="shared" si="26"/>
        <v>-46.745298709455284</v>
      </c>
      <c r="H255" s="11">
        <f t="shared" si="27"/>
        <v>61.378421984143195</v>
      </c>
      <c r="I255" s="34">
        <f t="shared" si="28"/>
        <v>8.1461853178495282E-3</v>
      </c>
      <c r="J255" s="34">
        <f t="shared" si="29"/>
        <v>0.05</v>
      </c>
      <c r="K255" s="34">
        <f t="shared" si="30"/>
        <v>0.05</v>
      </c>
      <c r="L255" s="38">
        <f t="shared" si="31"/>
        <v>110.21962956505966</v>
      </c>
      <c r="M255" s="38">
        <f t="shared" si="32"/>
        <v>108.78680921236862</v>
      </c>
      <c r="N255" s="6"/>
      <c r="O255" s="6"/>
    </row>
    <row r="256" spans="2:15">
      <c r="B256">
        <v>109.5</v>
      </c>
      <c r="C256">
        <v>106.62</v>
      </c>
      <c r="D256" s="7">
        <f t="shared" si="25"/>
        <v>108.06</v>
      </c>
      <c r="E256" s="23">
        <v>-0.94470727335245697</v>
      </c>
      <c r="F256" s="25">
        <v>0.32581834418341798</v>
      </c>
      <c r="G256" s="11">
        <f t="shared" si="26"/>
        <v>-70.971292711622652</v>
      </c>
      <c r="H256" s="11">
        <f t="shared" si="27"/>
        <v>24.225994002167369</v>
      </c>
      <c r="I256" s="34">
        <f t="shared" si="28"/>
        <v>2.0638988020688344E-2</v>
      </c>
      <c r="J256" s="34">
        <f t="shared" si="29"/>
        <v>0.05</v>
      </c>
      <c r="K256" s="34">
        <f t="shared" si="30"/>
        <v>0.05</v>
      </c>
      <c r="L256" s="38">
        <f t="shared" si="31"/>
        <v>110.11164808680668</v>
      </c>
      <c r="M256" s="38">
        <f t="shared" si="32"/>
        <v>108.81993018422958</v>
      </c>
      <c r="N256" s="6"/>
      <c r="O256" s="6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4:5">
      <c r="E497" s="1"/>
    </row>
    <row r="498" spans="4:5">
      <c r="E498" s="1"/>
    </row>
    <row r="499" spans="4:5">
      <c r="E499" s="1"/>
    </row>
    <row r="500" spans="4:5">
      <c r="E500" s="1"/>
    </row>
    <row r="501" spans="4:5">
      <c r="E501" s="1"/>
    </row>
    <row r="502" spans="4:5">
      <c r="E502" s="1"/>
    </row>
    <row r="503" spans="4:5">
      <c r="E503" s="1"/>
    </row>
    <row r="504" spans="4:5">
      <c r="E504" s="1"/>
    </row>
    <row r="505" spans="4:5">
      <c r="E505" s="1"/>
    </row>
    <row r="506" spans="4:5">
      <c r="E506" s="1"/>
    </row>
    <row r="507" spans="4:5">
      <c r="E507" s="1"/>
    </row>
    <row r="508" spans="4:5">
      <c r="E508" s="1"/>
    </row>
    <row r="509" spans="4:5">
      <c r="E509" s="1"/>
    </row>
    <row r="510" spans="4:5">
      <c r="E510" s="1"/>
    </row>
    <row r="511" spans="4:5">
      <c r="D511"/>
    </row>
    <row r="512" spans="4:5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</sheetData>
  <mergeCells count="2">
    <mergeCell ref="P2:Q2"/>
    <mergeCell ref="N2:O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3.2"/>
  <sheetData>
    <row r="1" spans="1:1">
      <c r="A1">
        <f>96.49*0.0962*0.54</f>
        <v>5.0124625199999997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test_MAMA</vt:lpstr>
      <vt:lpstr>Period Logic</vt:lpstr>
    </vt:vector>
  </TitlesOfParts>
  <Company>ta-lib.org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Fortier</dc:creator>
  <cp:lastModifiedBy>Binck</cp:lastModifiedBy>
  <dcterms:created xsi:type="dcterms:W3CDTF">2003-02-10T02:04:58Z</dcterms:created>
  <dcterms:modified xsi:type="dcterms:W3CDTF">2025-04-22T12:49:12Z</dcterms:modified>
</cp:coreProperties>
</file>